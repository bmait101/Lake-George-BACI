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GeorgeValentine\AppData\Local\Box\Box Edit\Documents\DSKcjkxD9kqpZeLFkX111g==\"/>
    </mc:Choice>
  </mc:AlternateContent>
  <xr:revisionPtr revIDLastSave="0" documentId="13_ncr:1_{9A1724E7-40BD-4611-95ED-009B4570356A}" xr6:coauthVersionLast="47" xr6:coauthVersionMax="47" xr10:uidLastSave="{00000000-0000-0000-0000-000000000000}"/>
  <bookViews>
    <workbookView xWindow="0" yWindow="0" windowWidth="25800" windowHeight="21000" activeTab="3" xr2:uid="{00000000-000D-0000-FFFF-FFFF00000000}"/>
  </bookViews>
  <sheets>
    <sheet name="General metadata &amp; disclaimers" sheetId="1" r:id="rId1"/>
    <sheet name="Column metadata" sheetId="2" r:id="rId2"/>
    <sheet name="Site &amp; sample info" sheetId="3" r:id="rId3"/>
    <sheet name="Index results" sheetId="4" r:id="rId4"/>
    <sheet name="Metrics" sheetId="5" r:id="rId5"/>
    <sheet name="Taxa matrix" sheetId="6" r:id="rId6"/>
    <sheet name="Raw taxa list" sheetId="7" r:id="rId7"/>
    <sheet name="GPV working"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8" l="1"/>
  <c r="M7" i="8"/>
  <c r="J4" i="8"/>
  <c r="J5" i="8"/>
  <c r="J6" i="8"/>
  <c r="J7" i="8"/>
  <c r="J8" i="8"/>
  <c r="J9" i="8"/>
  <c r="J10" i="8"/>
  <c r="J11" i="8"/>
  <c r="J3" i="8"/>
</calcChain>
</file>

<file path=xl/sharedStrings.xml><?xml version="1.0" encoding="utf-8"?>
<sst xmlns="http://schemas.openxmlformats.org/spreadsheetml/2006/main" count="4836" uniqueCount="576">
  <si>
    <t>Worksheet</t>
  </si>
  <si>
    <t>Column name</t>
  </si>
  <si>
    <t>Description</t>
  </si>
  <si>
    <t>Calculation</t>
  </si>
  <si>
    <t>Standardization and subsampling</t>
  </si>
  <si>
    <t>Site &amp; sample info</t>
  </si>
  <si>
    <t>Sample ID</t>
  </si>
  <si>
    <t>Unique sample identifier in NAMC database</t>
  </si>
  <si>
    <t>NA</t>
  </si>
  <si>
    <t/>
  </si>
  <si>
    <t>Site ID</t>
  </si>
  <si>
    <t>Customer provided site name/code</t>
  </si>
  <si>
    <t>Visit ID</t>
  </si>
  <si>
    <t>Unique visit identifer (e.g., concatenation of site ID and date) if provided by the customer</t>
  </si>
  <si>
    <t>COMID</t>
  </si>
  <si>
    <t>Stream segment unique identifier from NHDPlusV2. Field is often empty if not provided by customer</t>
  </si>
  <si>
    <t>Waterbody Name</t>
  </si>
  <si>
    <t>Customer provided name of stream or waterbody</t>
  </si>
  <si>
    <t>NAMC Latitude</t>
  </si>
  <si>
    <t>NAMC modified latitude in decimal degrees (moved to be on stream or to match existing sites within 100 m)</t>
  </si>
  <si>
    <t>NAMC Longitude</t>
  </si>
  <si>
    <t>NAMC modified longitude in decimal degrees (moved to be on stream or to match existing sites within 100 m)</t>
  </si>
  <si>
    <t>Customer Latitude</t>
  </si>
  <si>
    <t>Customer provided latitude in decimal degrees</t>
  </si>
  <si>
    <t>Customer Longitude</t>
  </si>
  <si>
    <t>Customer provided longitude in decimal degrees</t>
  </si>
  <si>
    <t>Collection Date</t>
  </si>
  <si>
    <t>Customer provided date of sample collection</t>
  </si>
  <si>
    <t>Ecosystem</t>
  </si>
  <si>
    <t>Customer provided ecosystem type (e.g., lotic)</t>
  </si>
  <si>
    <t>Habitat</t>
  </si>
  <si>
    <t>Customer provided habitat type (e.g., riffle, multiple)</t>
  </si>
  <si>
    <t>Sample Type</t>
  </si>
  <si>
    <t>Customer provided sample type (e.g., benthic, drift, diet)</t>
  </si>
  <si>
    <t>Sampler Type</t>
  </si>
  <si>
    <t>Customer provided type of net or apparatus used to sample (e.g., Surber net)</t>
  </si>
  <si>
    <t>Field Notes</t>
  </si>
  <si>
    <t>Customer provided field notes</t>
  </si>
  <si>
    <t>Lab Notes</t>
  </si>
  <si>
    <t>NAMC taxonomist generated lab notes</t>
  </si>
  <si>
    <t>Area</t>
  </si>
  <si>
    <t>Customer provided total area or time sampled. An area of 0 implies that a sample was either standardized by time or is qualitative. For drift samples the area is the volume, in cubic meters, of water that passed through the net. See the volume calculation in the Calculation column for Area.</t>
  </si>
  <si>
    <t>Volume (for drift samples): net area [m^2] * (net duration [minutes] * 60) * net velocity [m/s] .</t>
  </si>
  <si>
    <t>Field Split</t>
  </si>
  <si>
    <t>Customer provided % of total sample sent to NAMC</t>
  </si>
  <si>
    <t>Lab Split</t>
  </si>
  <si>
    <t>% of sample processed for identification</t>
  </si>
  <si>
    <t>Split Count</t>
  </si>
  <si>
    <t>Total individuals identified during processing. If fewer than 150 individuals were identified, metrics should be interpreted cautiously because the low number of individuals sampled may be indicative of poor conditions at the site or a poor sample. Ideally additional samples would be collected fewer than 150 individuals were present.</t>
  </si>
  <si>
    <t>Received Date</t>
  </si>
  <si>
    <t>The date that NAMC received the sample.</t>
  </si>
  <si>
    <t>Completion Date</t>
  </si>
  <si>
    <t>The date that NAMC finished processing the sample.</t>
  </si>
  <si>
    <t>Index results</t>
  </si>
  <si>
    <t>Index Name</t>
  </si>
  <si>
    <t>Index version used in calculations</t>
  </si>
  <si>
    <t>Index Type</t>
  </si>
  <si>
    <t>Observed to Expected (O/E), Multimetric Index (MMI) or other</t>
  </si>
  <si>
    <t>Fixed Count</t>
  </si>
  <si>
    <t>Subsampled total individuals used in index calculations after standardizing taxonomic resolution among samples or within a sample. If fewer than 150 individuals were present in a sample  and the condition assignment is poor, the condition rating should be interpreted cautiously because the low number of individuals sampled may be indicative of either impaired biological conditions at the site or a poor sample. Ideally, additional samples should be collected if fewer than 150 individuals were present.</t>
  </si>
  <si>
    <t>Count of individuals used in index calculations</t>
  </si>
  <si>
    <t>Depends on index</t>
  </si>
  <si>
    <t>O Value *</t>
  </si>
  <si>
    <t>Number of predicted taxa that were observed. *absent from MMI Reports</t>
  </si>
  <si>
    <t>See website for specifics and example calculations, https://qcnr.usu.edu/research/namc/environmental/bioassessment-indices</t>
  </si>
  <si>
    <t>E Value *</t>
  </si>
  <si>
    <t>Predicted number of taxa from a model. *absent from MMI Reports</t>
  </si>
  <si>
    <t>Index Value</t>
  </si>
  <si>
    <t>Final index score. O/E scores range from 0 to approximately 1, with a score of 0 indicating that sample sites have no taxa in common with expected reference conditions. In contrast, O/E scores of ~1 occur when macroinvertebrate assemblages at sample sites are the same as those expected under  reference conditions. MMI scores commonly range from 0 to 100, with lower scores indicating that sample sites deviate from reference sites across most or all metrics. In contrast, higher MMI scores occur when most or all macroinvertebrate metrics are equal to or greater than those observed under reference conditions.</t>
  </si>
  <si>
    <t>Site-specific predictive models are used to obtain predicted taxonomic composition or assemblage characteristics under reference conditions and these predictions are compared to observed taxonomic composition or assemblage characteristics. See index specific metadata for more specifics, https://qcnr.usu.edu/research/namc/services/invert-based-assessments/</t>
  </si>
  <si>
    <t>Condition</t>
  </si>
  <si>
    <t>Narrative condition class of the sampled site based on the index score and benchmark threshold values used by state agencies. For regional indices, NAMC works with the customer to determine what (if any) benchmarks are appropriate.</t>
  </si>
  <si>
    <t>If statements comparing index values to threshold values</t>
  </si>
  <si>
    <t>Model Applicable</t>
  </si>
  <si>
    <t xml:space="preserve">Test of whether a sample site's natural environmental setting is within the range of natural environmental settings observed at sites used to predict naturally occurring biological, chemical, or physical assessment endpoints.  Coded as TRUE or FALSE. A FALSE indicates the model had to extrapolate, rather than interpolate when making predictions. Sites fail the test when their position in multivariate natural environmental space falls outside of the 90th percentile of the multivariate environmental space observed across the reference sites used to account for natural variation in biological, chemical, or physical assessment endpoints. Assessment endpoint scores and condition classes should be interpreted cautiously if a site fails this test. </t>
  </si>
  <si>
    <t>See website for specifics, https://qcnr.usu.edu/research/namc/services/aquatic-macroinvertebrate/report-contents</t>
  </si>
  <si>
    <t>ElevCat</t>
  </si>
  <si>
    <t>Elevation of catchment from StreamCat used to determine model applicability</t>
  </si>
  <si>
    <t>Obtained from USEPA StreamCat database using COMID</t>
  </si>
  <si>
    <t>Precip8110Ws</t>
  </si>
  <si>
    <t>Mean annual 30 average precipitation from StreamCat used to determine model applicability</t>
  </si>
  <si>
    <t>Tmean8110Ws</t>
  </si>
  <si>
    <t>Mean annual 30 average air temperature from StreamCat used to determine model applicability</t>
  </si>
  <si>
    <t>WsAreaSqKm</t>
  </si>
  <si>
    <t>Watershed area (km2) from StreamCat used to determine model applicability</t>
  </si>
  <si>
    <t>Metrics</t>
  </si>
  <si>
    <t>Unique Richness</t>
  </si>
  <si>
    <t>Total number of taxa</t>
  </si>
  <si>
    <t>[Richness]</t>
  </si>
  <si>
    <t>Unique taxa within a sample, maximum of 300 individuals</t>
  </si>
  <si>
    <t>Unique Richness - Insecta</t>
  </si>
  <si>
    <t>Total number of insect taxa</t>
  </si>
  <si>
    <t>[Richness]insect</t>
  </si>
  <si>
    <t>Unique Richness - Ephemeroptera</t>
  </si>
  <si>
    <t>Total number of Ephemeroptera taxa</t>
  </si>
  <si>
    <t>[Richness]Ephemeroptera</t>
  </si>
  <si>
    <t>Unique Richness - Plecoptera</t>
  </si>
  <si>
    <t>Total number of Plecoptera taxa</t>
  </si>
  <si>
    <t>[Richness]Plecoptera</t>
  </si>
  <si>
    <t>Unique Richness - Trichoptera</t>
  </si>
  <si>
    <t>Total number of Trichoptera taxa</t>
  </si>
  <si>
    <t>[Richness]Trichoptera</t>
  </si>
  <si>
    <t>Unique Richness - Coleoptera</t>
  </si>
  <si>
    <t>Total number of Coleoptera taxa</t>
  </si>
  <si>
    <t>[Richness]Coleoptera</t>
  </si>
  <si>
    <t>Unique Richness - Elmidae</t>
  </si>
  <si>
    <t>Total number of Elmidae taxa</t>
  </si>
  <si>
    <t>[Richness]Elmidae</t>
  </si>
  <si>
    <t>Unique Richness - Diptera</t>
  </si>
  <si>
    <t>Total number of Diptera taxa</t>
  </si>
  <si>
    <t>[Richness]Diptera</t>
  </si>
  <si>
    <t>Unique Richness - Chironomidae</t>
  </si>
  <si>
    <t>Total number of Chironomidae taxa</t>
  </si>
  <si>
    <t>[Richness]Chironomidae</t>
  </si>
  <si>
    <t>Unique Richness - Megaloptera</t>
  </si>
  <si>
    <t>Total number of Megaloptera taxa</t>
  </si>
  <si>
    <t>[Richness]Megaloptera</t>
  </si>
  <si>
    <t>Unique Richness - Crustacea</t>
  </si>
  <si>
    <t>Total number of Crustacea taxa</t>
  </si>
  <si>
    <t>[Richness]Crustacea</t>
  </si>
  <si>
    <t>Unique Richness - Non-Insects</t>
  </si>
  <si>
    <t>Total number of non-insect taxa</t>
  </si>
  <si>
    <t>[Richness]Non-insects</t>
  </si>
  <si>
    <t>Unique Richness - Oligochaeta</t>
  </si>
  <si>
    <t>Total number of Oligochaeta taxa</t>
  </si>
  <si>
    <t>[Richness]Oligochaeta</t>
  </si>
  <si>
    <t>Unique Richness - Mollusca</t>
  </si>
  <si>
    <t>Total number of mollusk taxa</t>
  </si>
  <si>
    <t>[Richness]Mollusca</t>
  </si>
  <si>
    <t>Unique Richness - Feed_Collector-Filterer</t>
  </si>
  <si>
    <t>Total number of collector-filterer taxa</t>
  </si>
  <si>
    <t>[Richness]collector-filterer</t>
  </si>
  <si>
    <t>Unique Richness - Feed_Collector-Gatherer</t>
  </si>
  <si>
    <t>Total number of collector-gatherer taxa</t>
  </si>
  <si>
    <t>[Richness]collector-gatherer</t>
  </si>
  <si>
    <t>Unique Richness - Feed_Scraper</t>
  </si>
  <si>
    <t>Total number of scraper taxa</t>
  </si>
  <si>
    <t>[Richness]scraper</t>
  </si>
  <si>
    <t>Unique Richness - Feed_Shredder</t>
  </si>
  <si>
    <t>Total number of shredder taxa</t>
  </si>
  <si>
    <t>[Richness]shredder</t>
  </si>
  <si>
    <t>Unique Richness - Feed_Parasite</t>
  </si>
  <si>
    <t>Total number of parasite taxa</t>
  </si>
  <si>
    <t>[Richness]parasite</t>
  </si>
  <si>
    <t>Unique Richness - Feed_Predator</t>
  </si>
  <si>
    <t>Total number of predator taxa</t>
  </si>
  <si>
    <t>[Richness]predator</t>
  </si>
  <si>
    <t>Unique Richness - Feed_Piercer-Herbivore</t>
  </si>
  <si>
    <t>Total number of piercer-herbivore taxa</t>
  </si>
  <si>
    <t>[Richness]piercer-herbivore</t>
  </si>
  <si>
    <t>Unique Richness - Habit_Clinger</t>
  </si>
  <si>
    <t>Total number of clinger taxa</t>
  </si>
  <si>
    <t>[Richness]clinger</t>
  </si>
  <si>
    <t>Unique Richness - Habit_Planktonic</t>
  </si>
  <si>
    <t>Total number of planktonic taxa</t>
  </si>
  <si>
    <t>[Richness]planktonic</t>
  </si>
  <si>
    <t>Unique Richness - Habit_Skater</t>
  </si>
  <si>
    <t>Total number of skater taxa</t>
  </si>
  <si>
    <t>[Richness]skater</t>
  </si>
  <si>
    <t>Unique Richness - Habit_Climber</t>
  </si>
  <si>
    <t>Total number of climber taxa</t>
  </si>
  <si>
    <t>[Richness]climber</t>
  </si>
  <si>
    <t>Unique Richness - Habit_Crawler</t>
  </si>
  <si>
    <t>Total number of crawler taxa</t>
  </si>
  <si>
    <t>[Richness]crawler</t>
  </si>
  <si>
    <t>Unique Richness - Habit_Swimmer</t>
  </si>
  <si>
    <t>Total number of swimmer taxa</t>
  </si>
  <si>
    <t>[Richness]swimmer</t>
  </si>
  <si>
    <t>Unique Richness - Habit_Burrower</t>
  </si>
  <si>
    <t>Total number of burrower taxa</t>
  </si>
  <si>
    <t>[Richness]burrower</t>
  </si>
  <si>
    <t>Unique Richness - Habit_Sprawler</t>
  </si>
  <si>
    <t>Total number of sprawler taxa</t>
  </si>
  <si>
    <t>[Richness]sprawler</t>
  </si>
  <si>
    <t>Unique Richness - Long-Lived Taxa</t>
  </si>
  <si>
    <t>Total number of long-lived taxa</t>
  </si>
  <si>
    <t>[Richness]long-lived</t>
  </si>
  <si>
    <t>Unique Richness - Intolerant Taxa</t>
  </si>
  <si>
    <t>Total number of intolerant (HBI score &lt;= 2) taxa</t>
  </si>
  <si>
    <t>[Richness]intolerant taxa</t>
  </si>
  <si>
    <t>Unique Richness - Tolerant Taxa</t>
  </si>
  <si>
    <t>Total number of tolerant (HBI score &gt;= 8) taxa</t>
  </si>
  <si>
    <t>[Richness]Tolerant</t>
  </si>
  <si>
    <t>Unique Hilsenhoff</t>
  </si>
  <si>
    <t>Abundance-weighted average of family-level pollution tolerances</t>
  </si>
  <si>
    <t>Σ([Abundance]taxa*[Tolerance]taxa)/[Abundance]Total)</t>
  </si>
  <si>
    <t>Unique Shannons</t>
  </si>
  <si>
    <t>Shannon's diversity index</t>
  </si>
  <si>
    <t>Σ([Relative Abundance]taxa *ln([Relative Abundance]taxa))</t>
  </si>
  <si>
    <t>Unique Simpsons</t>
  </si>
  <si>
    <t>Simpson's diversity index</t>
  </si>
  <si>
    <t>1 - [Simpson's Diversity] = 1 - Σ([Relative Abundance]taxa)^2</t>
  </si>
  <si>
    <t>Unique Evenness</t>
  </si>
  <si>
    <t>Measure of relative abundance indicative of taxa dominance</t>
  </si>
  <si>
    <t>(Shannons diversity)/(ln[Richness])</t>
  </si>
  <si>
    <t>Unique Dominant Family Relative Abundance</t>
  </si>
  <si>
    <t>Proportion of sample from the most dominant family within the sample</t>
  </si>
  <si>
    <t>(Dominant family split count)/(split count)</t>
  </si>
  <si>
    <t>None</t>
  </si>
  <si>
    <t>Unique Dominant Taxon Relative Abundance</t>
  </si>
  <si>
    <t>Proportion of sample from the most dominant taxon within the sample</t>
  </si>
  <si>
    <t>(Dominant taxon split count)/(split count)</t>
  </si>
  <si>
    <t>Invasive species list</t>
  </si>
  <si>
    <t>Comma seperated list of invasive species present in a sample</t>
  </si>
  <si>
    <t>Species invasive to western states including:</t>
  </si>
  <si>
    <t>Density</t>
  </si>
  <si>
    <t>Total individuals within 1m2 of streambed</t>
  </si>
  <si>
    <t>Split count* (1/area)*(1/field split)*(1/lab split)</t>
  </si>
  <si>
    <t>Density - Insecta</t>
  </si>
  <si>
    <t>Total insect individuals within 1m2 of streambed</t>
  </si>
  <si>
    <t>Insect split count* (1/area)*(1/field split)*(1/lab split)</t>
  </si>
  <si>
    <t>Density - Ephemeroptera</t>
  </si>
  <si>
    <t>Total Ephemeroptera individuals within 1m2 of streambed</t>
  </si>
  <si>
    <t>Ephemeroptera split count* (1/area)*(1/field split)*(1/lab split)</t>
  </si>
  <si>
    <t>Density - Plecoptera</t>
  </si>
  <si>
    <t>Total Plecoptera individuals within 1m2 of streambed</t>
  </si>
  <si>
    <t>Plecoptera split count* (1/area)*(1/field split)*(1/lab split)</t>
  </si>
  <si>
    <t>Density - Trichoptera</t>
  </si>
  <si>
    <t>Total Trichoptera individuals within 1m2 of streambed</t>
  </si>
  <si>
    <t>Trichoptera split count* (1/area)*(1/field split)*(1/lab split)</t>
  </si>
  <si>
    <t>Density - Coleoptera</t>
  </si>
  <si>
    <t>Total Coleoptera individuals within 1m2 of streambed</t>
  </si>
  <si>
    <t>Coleoptera split count* (1/area)*(1/field split)*(1/lab split)</t>
  </si>
  <si>
    <t>Density - Elmidae</t>
  </si>
  <si>
    <t>Total Elmidae individuals within 1m2 of streambed</t>
  </si>
  <si>
    <t>Elmidae split count* (1/area)*(1/field split)*(1/lab split)</t>
  </si>
  <si>
    <t>Density - Diptera</t>
  </si>
  <si>
    <t>Total Diptera individuals within 1m2 of streambed</t>
  </si>
  <si>
    <t>Diptera split count* (1/area)*(1/field split)*(1/lab split)</t>
  </si>
  <si>
    <t>Density - Chironomidae</t>
  </si>
  <si>
    <t>Total Chironomidae individuals within 1m2 of streambed</t>
  </si>
  <si>
    <t>Chironomidae split count* (1/area)*(1/field split)*(1/lab split)</t>
  </si>
  <si>
    <t>Density - Megaloptera</t>
  </si>
  <si>
    <t>Total Megaloptera individuals within 1m2 of streambed</t>
  </si>
  <si>
    <t>Megaloptera split count* (1/area)*(1/field split)*(1/lab split)</t>
  </si>
  <si>
    <t>Density - Crustacea</t>
  </si>
  <si>
    <t>Total Crustacea individuals within 1m2 of streambed</t>
  </si>
  <si>
    <t>Crustacea split count* (1/area)*(1/field split)*(1/lab split)</t>
  </si>
  <si>
    <t>Density - Non-insects</t>
  </si>
  <si>
    <t>Total Non-insect individuals within 1m2 of streambed</t>
  </si>
  <si>
    <t>Non-insect split count* (1/area)*(1/field split)*(1/lab split)</t>
  </si>
  <si>
    <t>Density - Oligochaeta</t>
  </si>
  <si>
    <t>Total Oligochaeta individuals within 1m2 of streambed</t>
  </si>
  <si>
    <t>Oligochaeta split count* (1/area)*(1/field split)*(1/lab split)</t>
  </si>
  <si>
    <t>Density - Mollusca</t>
  </si>
  <si>
    <t>Total Mollusca individuals within 1m2 of streambed</t>
  </si>
  <si>
    <t>Mollusca split count* (1/area)*(1/field split)*(1/lab split)</t>
  </si>
  <si>
    <t>Density - Feed_Collector-Filterer</t>
  </si>
  <si>
    <t>Total collector-filterer individuals within 1m2 of streambed</t>
  </si>
  <si>
    <t>Collector-filterer split count* (1/area)*(1/field split)*(1/lab split)</t>
  </si>
  <si>
    <t>Density - Feed_Collector-Gatherer</t>
  </si>
  <si>
    <t>Total collector-gatherer individuals within 1m2 of streambed</t>
  </si>
  <si>
    <t>Collector-gatherer split count* (1/area)*(1/field split)*(1/lab split)</t>
  </si>
  <si>
    <t>Density - Feed_Scraper</t>
  </si>
  <si>
    <t>Total scraper individuals within 1m2 of streambed</t>
  </si>
  <si>
    <t>Scraper split count* (1/area)*(1/field split)*(1/lab split)</t>
  </si>
  <si>
    <t>Density - Feed_Shredder</t>
  </si>
  <si>
    <t>Total shredder individuals within 1m2 of streambed</t>
  </si>
  <si>
    <t>Shredder split count* (1/area)*(1/field split)*(1/lab split)</t>
  </si>
  <si>
    <t>Density - Feed_Parasite</t>
  </si>
  <si>
    <t>Total parasite individuals within 1m2 of streambed</t>
  </si>
  <si>
    <t>Parasite split count* (1/area)*(1/field split)*(1/lab split)</t>
  </si>
  <si>
    <t>Density - Feed_Predator</t>
  </si>
  <si>
    <t>Total predator individuals within 1m2 of streambed</t>
  </si>
  <si>
    <t>Predator split count* (1/area)*(1/field split)*(1/lab split)</t>
  </si>
  <si>
    <t>Density - Feed_Piercer-Herbivore</t>
  </si>
  <si>
    <t>Total piercer-herbivore individuals within 1m2 of streambed</t>
  </si>
  <si>
    <t>Piercer-herbivore split count* (1/area)*(1/field split)*(1/lab split)</t>
  </si>
  <si>
    <t>Density - Habit_Clinger</t>
  </si>
  <si>
    <t>Total clinger individuals within 1m2 of streambed</t>
  </si>
  <si>
    <t>Clinger split count* (1/area)*(1/field split)*(1/lab split)</t>
  </si>
  <si>
    <t>Density - Habit_Planktonic</t>
  </si>
  <si>
    <t>Total planktonic individuals within 1m2 of streambed</t>
  </si>
  <si>
    <t>Planktonic split count* (1/area)*(1/field split)*(1/lab split)</t>
  </si>
  <si>
    <t>Density - Habit_Skater</t>
  </si>
  <si>
    <t>Total skater individuals within 1m2 of streambed</t>
  </si>
  <si>
    <t>Skater split count* (1/area)*(1/field split)*(1/lab split)</t>
  </si>
  <si>
    <t>Density - Habit_Climber</t>
  </si>
  <si>
    <t>Total climber individuals within 1m2 of streambed</t>
  </si>
  <si>
    <t>Climber split count* (1/area)*(1/field split)*(1/lab split)</t>
  </si>
  <si>
    <t>Density - Habit_Crawler</t>
  </si>
  <si>
    <t>Total crawler individuals within 1m2 of streambed</t>
  </si>
  <si>
    <t>Crawler split count* (1/area)*(1/field split)*(1/lab split)</t>
  </si>
  <si>
    <t>Density - Habit_Swimmer</t>
  </si>
  <si>
    <t>Total swimmer individuals within 1m2 of streambed</t>
  </si>
  <si>
    <t>Swimmer split count* (1/area)*(1/field split)*(1/lab split)</t>
  </si>
  <si>
    <t>Density - Habit_Burrower</t>
  </si>
  <si>
    <t>Total burrower individuals within 1m2 of streambed</t>
  </si>
  <si>
    <t>Burrower split count* (1/area)*(1/field split)*(1/lab split)</t>
  </si>
  <si>
    <t>Density - Habit_Sprawler</t>
  </si>
  <si>
    <t>Total sprawler individuals within 1m2 of streambed</t>
  </si>
  <si>
    <t>Sprawler split count* (1/area)*(1/field split)*(1/lab split)</t>
  </si>
  <si>
    <t>Density - Intolerant Taxa</t>
  </si>
  <si>
    <t>Total Intolerant (HBI score &lt;= 2) taxa individuals within 1m2 of streambed</t>
  </si>
  <si>
    <t>Intolerant taxa split count* (1/area)*(1/field split)*(1/lab split)</t>
  </si>
  <si>
    <t>Density - Tolerant Taxa</t>
  </si>
  <si>
    <t>Total Tolerant (HBI score &gt;= 8) taxa individuals within 1m2 of streambed</t>
  </si>
  <si>
    <t>Tolerant taxa split count* (1/area)*(1/field split)*(1/lab split)</t>
  </si>
  <si>
    <t>Raw taxa list</t>
  </si>
  <si>
    <t>NAMC generated unique sample identifier</t>
  </si>
  <si>
    <t>ScientificName</t>
  </si>
  <si>
    <t>Final taxonomic identification</t>
  </si>
  <si>
    <t>Order</t>
  </si>
  <si>
    <t>Taxonomic order</t>
  </si>
  <si>
    <t>Family</t>
  </si>
  <si>
    <t>Taxonomic family</t>
  </si>
  <si>
    <t>Genus</t>
  </si>
  <si>
    <t>Taxonomic genus</t>
  </si>
  <si>
    <t>Species</t>
  </si>
  <si>
    <t>Taxonomic species</t>
  </si>
  <si>
    <t>LifeStage</t>
  </si>
  <si>
    <t>Organism life stage (e.g., Larvae, Adult, Pupae)</t>
  </si>
  <si>
    <t>SplitCount</t>
  </si>
  <si>
    <t>Total raw count of taxon individuals in sample</t>
  </si>
  <si>
    <t>BigRareCount</t>
  </si>
  <si>
    <t>Total individuals from taxon identified in Big-Rare search. See our website for more information, https://qcnr.usu.edu/research/namc/services/aquatic-macroinvertebrate/lab-procedures/caton-tray</t>
  </si>
  <si>
    <t>Notes</t>
  </si>
  <si>
    <t>Taxonomy notes from lab</t>
  </si>
  <si>
    <t>OTU Name</t>
  </si>
  <si>
    <t>The standardized taxonomic name that corresponds to the raw taxonomic name. This column is provided as a translation between the Raw Taxa List and Taxa Matrix sheets</t>
  </si>
  <si>
    <t>Andrew Caudillo, 510.334.9769 andrew.caudillo@usu.edu
National Aquatic Monitoring Center (NAMC)
Department of Watershed Sciences
Utah State University
5210 Old Main Hill Logan, UT 84341</t>
  </si>
  <si>
    <t>Report generated by:</t>
  </si>
  <si>
    <t>Report generated for:</t>
  </si>
  <si>
    <t>NAMC provides data in four different configurations if you so choose</t>
  </si>
  <si>
    <t>Kathleen Dwire
USDA Forest Service Rocky Mountain Research Center</t>
  </si>
  <si>
    <t>Worksheet name</t>
  </si>
  <si>
    <t>Worksheet description</t>
  </si>
  <si>
    <t>Taxa matrix</t>
  </si>
  <si>
    <t>Disclaimers: Some considerations for interpreting macroinvertebrate data</t>
  </si>
  <si>
    <t>Number of individuals identified</t>
  </si>
  <si>
    <t>Accounting for natural environmental gradients</t>
  </si>
  <si>
    <t>Non-perennial streams</t>
  </si>
  <si>
    <t>Changes in trait information or taxonomic hierarchy</t>
  </si>
  <si>
    <t>This worksheet also contains sample information provided by the customer and number of
individuals identified by NAMC. For more information on NAMC laboratory procedures, see our 
website,
https://qcnr.usu.edu/research/namc/services/aquatic-macroinvertebrate/.</t>
  </si>
  <si>
    <t>Bioassessment index scores and condition classes are the most common use of macroinvertebrate data, and NAMC provides this information to states and regions as requested. To learn more about
available indices, view index specific metadata, or request this output, see our website.
https://qcnr.usu.edu/research/namc/services/invert-based-assessments/</t>
  </si>
  <si>
    <t>We provide values for metrics used to characterize different components of macroinvertebrate
assemblages. These metrics include density, which is commonly used in food web analyses. Note that
values for richness-based metrics are calculated based on unique taxa within a sample after
computer resampling all samples to a maximum of 300 individuals, but density metrics are based on
the original lab subsample counts and raw taxa lists.</t>
  </si>
  <si>
    <t>We provide a standardized taxa by sample matrix for ease of comparing taxa across samples, and this
matrix can easily be imported into statistical software packages for additional analyses. Columns in this worksheet are samples coded by NAMC Sample ID and the rows are taxa. Values are counts of
individuals for each taxa after standardizing (computer resampling) to a maximum of 300 individuals
for each sample to account for differences in sampling effort among samples. The taxa list is
standardized to Operational Taxonomic Units (OTU) that are common across samples. OTUs are
primarily at the genus taxonomic level, but if index scores are reported the OTU is specific to the index
used.</t>
  </si>
  <si>
    <t>We provide a raw list of taxa identified for ease of importing data into databases and searching for
specific taxa of interest, which may not have been present in the resampled, standardized taxa list.</t>
  </si>
  <si>
    <t>Samples containing &lt; 150 individuals may be indicative of either poor biological conditions
or poor field sampling, and additional samples are likely needed to determine biological conditions.</t>
  </si>
  <si>
    <t>The metrics we report in the metrics worksheet are not adjusted for the effect of the natural
environmental differences among sites. If you are seeking to compare metrics among sites rather than through time at a single site, we recommend first accounting for these natural environmental
gradients. Bioassessment index scores, on the other hand, are adjusted for variability among sites in
naturally occurring environmental conditions. However, it is important to consider the "Model Applicability" column that we provide to determine if the natural environmental settings at your site
are similar to those used for sites that were used to develop indices.
For more information see the "Model Applicability" column metadata.</t>
  </si>
  <si>
    <t>Taxa richness and index scores in nonperennial streams may be inherently low and assemblage
composition may be variable through time and unpredictable because of the effects of frequent natural disturbance. Please contact us if you think your sites may be prone to frequent drying events
so we can discuss available scoring tools to help interpret your data.</t>
  </si>
  <si>
    <t>NAMC periodically updates our taxonomic assignments and traits associated with taxa.
Please reach out to us for historical data exports if you have any concerns regarding these changes
over time.</t>
  </si>
  <si>
    <t>LkGeorge.CTRL_1</t>
  </si>
  <si>
    <t>preremoval</t>
  </si>
  <si>
    <t>5241290</t>
  </si>
  <si>
    <t>Upper So Platte River</t>
  </si>
  <si>
    <t>2023-06-29</t>
  </si>
  <si>
    <t>Stream/river</t>
  </si>
  <si>
    <t>Riffle</t>
  </si>
  <si>
    <t>Benthic</t>
  </si>
  <si>
    <t>Surber net</t>
  </si>
  <si>
    <t>composite of 3 surber reps</t>
  </si>
  <si>
    <t>LkGeorge.CTRL_2</t>
  </si>
  <si>
    <t>2023-06-28</t>
  </si>
  <si>
    <t>composite of 4 surber reps</t>
  </si>
  <si>
    <t>LkGeorge.CTRL_3</t>
  </si>
  <si>
    <t>5241212</t>
  </si>
  <si>
    <t>Run</t>
  </si>
  <si>
    <t>LkGeorge.UPSTRM_1</t>
  </si>
  <si>
    <t>5241156</t>
  </si>
  <si>
    <t>LkGeorge.UPSTRM_2</t>
  </si>
  <si>
    <t>5241208</t>
  </si>
  <si>
    <t>Multiple</t>
  </si>
  <si>
    <t>LkGeorge.UPSTRM_3</t>
  </si>
  <si>
    <t>LkGeorge.DWNSTRM_1</t>
  </si>
  <si>
    <t>LkGeorge.DWNSTRM_2</t>
  </si>
  <si>
    <t>LkGeorge.DWNSTRM_3</t>
  </si>
  <si>
    <t>post-removal</t>
  </si>
  <si>
    <t>2023-11-29</t>
  </si>
  <si>
    <t>Unique Richness - Non-insects</t>
  </si>
  <si>
    <t>Invasive Species List</t>
  </si>
  <si>
    <t>215065</t>
  </si>
  <si>
    <t>Absent</t>
  </si>
  <si>
    <t>215066</t>
  </si>
  <si>
    <t>215067</t>
  </si>
  <si>
    <t>215068</t>
  </si>
  <si>
    <t>215069</t>
  </si>
  <si>
    <t>215070</t>
  </si>
  <si>
    <t>215071</t>
  </si>
  <si>
    <t>215072</t>
  </si>
  <si>
    <t>215073</t>
  </si>
  <si>
    <t>215074</t>
  </si>
  <si>
    <t>215075</t>
  </si>
  <si>
    <t>SubFamily</t>
  </si>
  <si>
    <t>Coleoptera</t>
  </si>
  <si>
    <t>Elmidae</t>
  </si>
  <si>
    <t>Optioservus</t>
  </si>
  <si>
    <t>Larvae</t>
  </si>
  <si>
    <t>Zaitzevia</t>
  </si>
  <si>
    <t>Zaitzevia parvula</t>
  </si>
  <si>
    <t>Optioservus quadrimaculatus</t>
  </si>
  <si>
    <t>Adult</t>
  </si>
  <si>
    <t>Optioservus divergens</t>
  </si>
  <si>
    <t>Diptera</t>
  </si>
  <si>
    <t>Ceratopogonidae</t>
  </si>
  <si>
    <t>Ceratopogoninae</t>
  </si>
  <si>
    <t>Probezzia</t>
  </si>
  <si>
    <t>Chironomidae</t>
  </si>
  <si>
    <t>Pupae</t>
  </si>
  <si>
    <t>Chironominae</t>
  </si>
  <si>
    <t>Paracladopelma</t>
  </si>
  <si>
    <t>Tanypodinae</t>
  </si>
  <si>
    <t>Pentaneura</t>
  </si>
  <si>
    <t>Rheotanytarsus</t>
  </si>
  <si>
    <t>Saetheria</t>
  </si>
  <si>
    <t>Orthocladiinae</t>
  </si>
  <si>
    <t>Cardiocladius</t>
  </si>
  <si>
    <t>Cardiocladius albiplumus</t>
  </si>
  <si>
    <t>Eukiefferiella</t>
  </si>
  <si>
    <t xml:space="preserve"> brehmi group</t>
  </si>
  <si>
    <t>Eukiefferiella brehmi group</t>
  </si>
  <si>
    <t xml:space="preserve"> devonica group</t>
  </si>
  <si>
    <t>Eukiefferiella devonica group</t>
  </si>
  <si>
    <t>Microtendipes</t>
  </si>
  <si>
    <t xml:space="preserve"> pedellus group</t>
  </si>
  <si>
    <t>Microtendipes pedellus group</t>
  </si>
  <si>
    <t>Cricotopus</t>
  </si>
  <si>
    <t>Cricotopus trifascia group</t>
  </si>
  <si>
    <t>Lopescladius</t>
  </si>
  <si>
    <t>Orthocladius</t>
  </si>
  <si>
    <t>Rheocricotopus</t>
  </si>
  <si>
    <t>Simuliidae</t>
  </si>
  <si>
    <t>Simuliinae</t>
  </si>
  <si>
    <t>Simulium</t>
  </si>
  <si>
    <t>Tipulidae</t>
  </si>
  <si>
    <t>Limoniinae</t>
  </si>
  <si>
    <t>Dicranota</t>
  </si>
  <si>
    <t>Ephemeroptera</t>
  </si>
  <si>
    <t>Baetidae</t>
  </si>
  <si>
    <t>Baetis</t>
  </si>
  <si>
    <t>Acentrella</t>
  </si>
  <si>
    <t>Plauditus</t>
  </si>
  <si>
    <t>Plauditus punctiventris</t>
  </si>
  <si>
    <t>Ephemerellidae</t>
  </si>
  <si>
    <t>Ephemerella</t>
  </si>
  <si>
    <t xml:space="preserve"> dorothea/excrucians</t>
  </si>
  <si>
    <t>Ephemerella dorothea/excrucians</t>
  </si>
  <si>
    <t>Ephemerella inermis/infrequens</t>
  </si>
  <si>
    <t>Serratella</t>
  </si>
  <si>
    <t>I</t>
  </si>
  <si>
    <t>Heptageniidae</t>
  </si>
  <si>
    <t>Leptohyphidae</t>
  </si>
  <si>
    <t>Tricorythodes</t>
  </si>
  <si>
    <t>Leptophlebiidae</t>
  </si>
  <si>
    <t>Paraleptophlebia</t>
  </si>
  <si>
    <t>Isopoda</t>
  </si>
  <si>
    <t>Asellidae</t>
  </si>
  <si>
    <t>Caecidotea</t>
  </si>
  <si>
    <t>Lepidoptera</t>
  </si>
  <si>
    <t>Crambidae</t>
  </si>
  <si>
    <t>Nymphulinae</t>
  </si>
  <si>
    <t>Petrophila</t>
  </si>
  <si>
    <t>Plecoptera</t>
  </si>
  <si>
    <t>Perlidae</t>
  </si>
  <si>
    <t>Acroneuriinae</t>
  </si>
  <si>
    <t>Hesperoperla</t>
  </si>
  <si>
    <t>Hesperoperla pacifica</t>
  </si>
  <si>
    <t>Claassenia</t>
  </si>
  <si>
    <t>Claassenia sabulosa</t>
  </si>
  <si>
    <t>Perlodidae</t>
  </si>
  <si>
    <t>Isoperlinae</t>
  </si>
  <si>
    <t>Isoperla</t>
  </si>
  <si>
    <t>Trichoptera</t>
  </si>
  <si>
    <t>Brachycentridae</t>
  </si>
  <si>
    <t>Brachycentrus</t>
  </si>
  <si>
    <t>Brachycentrus americanus</t>
  </si>
  <si>
    <t>Helicopsychidae</t>
  </si>
  <si>
    <t>Helicopsyche</t>
  </si>
  <si>
    <t>Hydropsychidae</t>
  </si>
  <si>
    <t>Hydropsychinae</t>
  </si>
  <si>
    <t>Hydropsyche</t>
  </si>
  <si>
    <t>Hydroptilidae</t>
  </si>
  <si>
    <t>Leptoceridae</t>
  </si>
  <si>
    <t>Leptocerinae</t>
  </si>
  <si>
    <t>Oecetis</t>
  </si>
  <si>
    <t>Nectopsyche</t>
  </si>
  <si>
    <t>U</t>
  </si>
  <si>
    <t>Trombidiformes</t>
  </si>
  <si>
    <t>Hydryphantidae</t>
  </si>
  <si>
    <t>Protzia</t>
  </si>
  <si>
    <t>Veneroida</t>
  </si>
  <si>
    <t>Pisidiidae</t>
  </si>
  <si>
    <t>Pisidium</t>
  </si>
  <si>
    <t>Oligochaeta</t>
  </si>
  <si>
    <t>Nematoda</t>
  </si>
  <si>
    <t>Amphipoda</t>
  </si>
  <si>
    <t>Basommatophora</t>
  </si>
  <si>
    <t>Physidae</t>
  </si>
  <si>
    <t>Physa</t>
  </si>
  <si>
    <t>Corynoneura</t>
  </si>
  <si>
    <t>Thienemannimyia group</t>
  </si>
  <si>
    <t>Tvetenia</t>
  </si>
  <si>
    <t xml:space="preserve"> discoloripes group</t>
  </si>
  <si>
    <t>Tvetenia discoloripes group</t>
  </si>
  <si>
    <t>Tvetenia discoloripes</t>
  </si>
  <si>
    <t>Parametriocnemus</t>
  </si>
  <si>
    <t>Antocha</t>
  </si>
  <si>
    <t>I,D</t>
  </si>
  <si>
    <t>Hydroptilinae</t>
  </si>
  <si>
    <t>Hydroptila</t>
  </si>
  <si>
    <t>Lebertiidae</t>
  </si>
  <si>
    <t>Lebertia</t>
  </si>
  <si>
    <t>Sperchonidae</t>
  </si>
  <si>
    <t>Sperchon</t>
  </si>
  <si>
    <t>Torrenticolidae</t>
  </si>
  <si>
    <t>Testudacarus</t>
  </si>
  <si>
    <t>Gammaridae</t>
  </si>
  <si>
    <t>Gammarus</t>
  </si>
  <si>
    <t>Hyalellidae</t>
  </si>
  <si>
    <t>Hyalella</t>
  </si>
  <si>
    <t>Prodiamesinae</t>
  </si>
  <si>
    <t>Odontomesa</t>
  </si>
  <si>
    <t>Chironomus</t>
  </si>
  <si>
    <t>Cryptochironomus</t>
  </si>
  <si>
    <t>Phaenopsectra</t>
  </si>
  <si>
    <t>Polypedilum</t>
  </si>
  <si>
    <t>Tanytarsus</t>
  </si>
  <si>
    <t>Thienemanniella</t>
  </si>
  <si>
    <t>Siphlonuridae</t>
  </si>
  <si>
    <t>Siphlonurus</t>
  </si>
  <si>
    <t>Odonata</t>
  </si>
  <si>
    <t>Gomphidae</t>
  </si>
  <si>
    <t>D</t>
  </si>
  <si>
    <t>Pseudochironomus</t>
  </si>
  <si>
    <t>Ophiogomphus</t>
  </si>
  <si>
    <t>Ophiogomphus severus</t>
  </si>
  <si>
    <t>Cladotanytarsus</t>
  </si>
  <si>
    <t>Procladius</t>
  </si>
  <si>
    <t>Hirudinida</t>
  </si>
  <si>
    <t>Erpobdellidae</t>
  </si>
  <si>
    <t>Platyhelminthes</t>
  </si>
  <si>
    <t>Conchapelopia</t>
  </si>
  <si>
    <t>Capniidae</t>
  </si>
  <si>
    <t>Actinopterygii</t>
  </si>
  <si>
    <t>Cyphomella</t>
  </si>
  <si>
    <t>Diamesinae</t>
  </si>
  <si>
    <t>Diamesa</t>
  </si>
  <si>
    <t xml:space="preserve"> bavarica group</t>
  </si>
  <si>
    <t>Tvetenia bavarica group</t>
  </si>
  <si>
    <t>Nanocladius</t>
  </si>
  <si>
    <t>Tipulinae</t>
  </si>
  <si>
    <t>Tipula</t>
  </si>
  <si>
    <t>Glossosomatidae</t>
  </si>
  <si>
    <t>Protoptilinae</t>
  </si>
  <si>
    <t>Protoptila</t>
  </si>
  <si>
    <t>Lepidostomatidae</t>
  </si>
  <si>
    <t>Lepidostomatinae</t>
  </si>
  <si>
    <t>Lepidostoma</t>
  </si>
  <si>
    <t>Limnephilidae</t>
  </si>
  <si>
    <t>Polycentropodidae</t>
  </si>
  <si>
    <t>Polycentropodinae</t>
  </si>
  <si>
    <t>Polycentropus</t>
  </si>
  <si>
    <t>Hygrobatidae</t>
  </si>
  <si>
    <t>Chaetocladius</t>
  </si>
  <si>
    <t>Site Name</t>
  </si>
  <si>
    <t>Index Score</t>
  </si>
  <si>
    <t>CO Ecological Data Application System Multimetric Index - Transition</t>
  </si>
  <si>
    <t>MMI</t>
  </si>
  <si>
    <t>Not impaired</t>
  </si>
  <si>
    <t>Inconclusive</t>
  </si>
  <si>
    <t>Likely impaired</t>
  </si>
  <si>
    <t>Site</t>
  </si>
  <si>
    <t>Control 1</t>
  </si>
  <si>
    <t>Control 2</t>
  </si>
  <si>
    <t>Control 3</t>
  </si>
  <si>
    <t>Upstream 1</t>
  </si>
  <si>
    <t>Upstream 2</t>
  </si>
  <si>
    <t>Upstream 3</t>
  </si>
  <si>
    <t>Downstream 1</t>
  </si>
  <si>
    <t>Downstream 3</t>
  </si>
  <si>
    <t>Downstream 2</t>
  </si>
  <si>
    <t>Pre-Removal</t>
  </si>
  <si>
    <t>Post-Removal</t>
  </si>
  <si>
    <t>Ratio Intolerant-Tolerant</t>
  </si>
  <si>
    <t>Ratio Pre-Removal</t>
  </si>
  <si>
    <t>Ratio Post-Removal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</si>
</sst>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3" x14ac:knownFonts="1">
    <font>
      <sz val="11"/>
      <color rgb="FF000000"/>
      <name val="Calibri"/>
      <family val="2"/>
      <scheme val="minor"/>
    </font>
    <font>
      <sz val="11"/>
      <color rgb="FF000000"/>
      <name val="Calibri"/>
    </font>
    <font>
      <b/>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2" fillId="0" borderId="0" xfId="0" applyFont="1"/>
    <xf numFmtId="0" fontId="1" fillId="0" borderId="0" xfId="0" applyFont="1" applyAlignment="1">
      <alignment wrapText="1"/>
    </xf>
    <xf numFmtId="164" fontId="1" fillId="0" borderId="0" xfId="0" applyNumberFormat="1" applyFont="1"/>
    <xf numFmtId="0" fontId="2" fillId="0" borderId="0" xfId="0" applyFont="1"/>
    <xf numFmtId="0" fontId="0" fillId="0" borderId="0" xfId="0"/>
    <xf numFmtId="0" fontId="1" fillId="0" borderId="0" xfId="0" applyFont="1" applyAlignment="1">
      <alignment horizontal="center" vertical="center" wrapText="1"/>
    </xf>
    <xf numFmtId="0" fontId="1" fillId="0" borderId="0" xfId="0" applyFont="1" applyAlignment="1">
      <alignment wrapText="1"/>
    </xf>
    <xf numFmtId="0" fontId="1" fillId="0" borderId="0" xfId="0" applyFont="1" applyAlignment="1">
      <alignment horizontal="left" vertical="center" wrapText="1"/>
    </xf>
    <xf numFmtId="0" fontId="2"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'GPV working'!$D$2</c:f>
              <c:strCache>
                <c:ptCount val="1"/>
                <c:pt idx="0">
                  <c:v>Pre-Removal</c:v>
                </c:pt>
              </c:strCache>
            </c:strRef>
          </c:tx>
          <c:spPr>
            <a:solidFill>
              <a:schemeClr val="accent1"/>
            </a:solidFill>
            <a:ln>
              <a:noFill/>
            </a:ln>
            <a:effectLst/>
          </c:spPr>
          <c:invertIfNegative val="0"/>
          <c:cat>
            <c:strRef>
              <c:f>'GPV working'!$B$3:$B$11</c:f>
              <c:strCache>
                <c:ptCount val="9"/>
                <c:pt idx="0">
                  <c:v>Control 1</c:v>
                </c:pt>
                <c:pt idx="1">
                  <c:v>Control 2</c:v>
                </c:pt>
                <c:pt idx="2">
                  <c:v>Control 3</c:v>
                </c:pt>
                <c:pt idx="3">
                  <c:v>Upstream 1</c:v>
                </c:pt>
                <c:pt idx="4">
                  <c:v>Upstream 2</c:v>
                </c:pt>
                <c:pt idx="5">
                  <c:v>Upstream 3</c:v>
                </c:pt>
                <c:pt idx="6">
                  <c:v>Downstream 1</c:v>
                </c:pt>
                <c:pt idx="7">
                  <c:v>Downstream 2</c:v>
                </c:pt>
                <c:pt idx="8">
                  <c:v>Downstream 3</c:v>
                </c:pt>
              </c:strCache>
            </c:strRef>
          </c:cat>
          <c:val>
            <c:numRef>
              <c:f>'GPV working'!$D$3:$D$11</c:f>
              <c:numCache>
                <c:formatCode>General</c:formatCode>
                <c:ptCount val="9"/>
                <c:pt idx="0">
                  <c:v>61.6</c:v>
                </c:pt>
                <c:pt idx="1">
                  <c:v>64.599999999999994</c:v>
                </c:pt>
                <c:pt idx="2">
                  <c:v>47</c:v>
                </c:pt>
                <c:pt idx="3">
                  <c:v>57.6</c:v>
                </c:pt>
                <c:pt idx="4">
                  <c:v>36.4</c:v>
                </c:pt>
                <c:pt idx="5">
                  <c:v>34</c:v>
                </c:pt>
                <c:pt idx="6">
                  <c:v>35.700000000000003</c:v>
                </c:pt>
                <c:pt idx="7">
                  <c:v>41.6</c:v>
                </c:pt>
                <c:pt idx="8">
                  <c:v>29.4</c:v>
                </c:pt>
              </c:numCache>
            </c:numRef>
          </c:val>
          <c:extLst>
            <c:ext xmlns:c16="http://schemas.microsoft.com/office/drawing/2014/chart" uri="{C3380CC4-5D6E-409C-BE32-E72D297353CC}">
              <c16:uniqueId val="{00000000-EB29-4F1C-B3B4-6A3354B6484F}"/>
            </c:ext>
          </c:extLst>
        </c:ser>
        <c:ser>
          <c:idx val="1"/>
          <c:order val="1"/>
          <c:tx>
            <c:strRef>
              <c:f>'GPV working'!$E$2</c:f>
              <c:strCache>
                <c:ptCount val="1"/>
                <c:pt idx="0">
                  <c:v>Post-Removal</c:v>
                </c:pt>
              </c:strCache>
            </c:strRef>
          </c:tx>
          <c:spPr>
            <a:solidFill>
              <a:schemeClr val="accent2"/>
            </a:solidFill>
            <a:ln>
              <a:noFill/>
            </a:ln>
            <a:effectLst/>
          </c:spPr>
          <c:invertIfNegative val="0"/>
          <c:val>
            <c:numRef>
              <c:f>'GPV working'!$E$3:$E$11</c:f>
              <c:numCache>
                <c:formatCode>General</c:formatCode>
                <c:ptCount val="9"/>
                <c:pt idx="0">
                  <c:v>0</c:v>
                </c:pt>
                <c:pt idx="1">
                  <c:v>66.7</c:v>
                </c:pt>
                <c:pt idx="2">
                  <c:v>0</c:v>
                </c:pt>
                <c:pt idx="3">
                  <c:v>0</c:v>
                </c:pt>
                <c:pt idx="4">
                  <c:v>35.4</c:v>
                </c:pt>
                <c:pt idx="5">
                  <c:v>0</c:v>
                </c:pt>
                <c:pt idx="6">
                  <c:v>0</c:v>
                </c:pt>
                <c:pt idx="7">
                  <c:v>0</c:v>
                </c:pt>
                <c:pt idx="8">
                  <c:v>0</c:v>
                </c:pt>
              </c:numCache>
            </c:numRef>
          </c:val>
          <c:extLst>
            <c:ext xmlns:c16="http://schemas.microsoft.com/office/drawing/2014/chart" uri="{C3380CC4-5D6E-409C-BE32-E72D297353CC}">
              <c16:uniqueId val="{00000004-EB29-4F1C-B3B4-6A3354B6484F}"/>
            </c:ext>
          </c:extLst>
        </c:ser>
        <c:dLbls>
          <c:showLegendKey val="0"/>
          <c:showVal val="0"/>
          <c:showCatName val="0"/>
          <c:showSerName val="0"/>
          <c:showPercent val="0"/>
          <c:showBubbleSize val="0"/>
        </c:dLbls>
        <c:gapWidth val="219"/>
        <c:overlap val="-27"/>
        <c:axId val="1703196672"/>
        <c:axId val="1058884256"/>
      </c:barChart>
      <c:catAx>
        <c:axId val="170319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884256"/>
        <c:crosses val="autoZero"/>
        <c:auto val="1"/>
        <c:lblAlgn val="ctr"/>
        <c:lblOffset val="100"/>
        <c:noMultiLvlLbl val="0"/>
      </c:catAx>
      <c:valAx>
        <c:axId val="1058884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Colorado MMI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19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'GPV working'!$F$2</c:f>
              <c:strCache>
                <c:ptCount val="1"/>
                <c:pt idx="0">
                  <c:v>Pre-Removal</c:v>
                </c:pt>
              </c:strCache>
            </c:strRef>
          </c:tx>
          <c:spPr>
            <a:solidFill>
              <a:schemeClr val="accent1"/>
            </a:solidFill>
            <a:ln>
              <a:noFill/>
            </a:ln>
            <a:effectLst/>
          </c:spPr>
          <c:invertIfNegative val="0"/>
          <c:cat>
            <c:strRef>
              <c:f>'GPV working'!$B$3:$B$11</c:f>
              <c:strCache>
                <c:ptCount val="9"/>
                <c:pt idx="0">
                  <c:v>Control 1</c:v>
                </c:pt>
                <c:pt idx="1">
                  <c:v>Control 2</c:v>
                </c:pt>
                <c:pt idx="2">
                  <c:v>Control 3</c:v>
                </c:pt>
                <c:pt idx="3">
                  <c:v>Upstream 1</c:v>
                </c:pt>
                <c:pt idx="4">
                  <c:v>Upstream 2</c:v>
                </c:pt>
                <c:pt idx="5">
                  <c:v>Upstream 3</c:v>
                </c:pt>
                <c:pt idx="6">
                  <c:v>Downstream 1</c:v>
                </c:pt>
                <c:pt idx="7">
                  <c:v>Downstream 2</c:v>
                </c:pt>
                <c:pt idx="8">
                  <c:v>Downstream 3</c:v>
                </c:pt>
              </c:strCache>
            </c:strRef>
          </c:cat>
          <c:val>
            <c:numRef>
              <c:f>'GPV working'!$F$3:$F$11</c:f>
              <c:numCache>
                <c:formatCode>General</c:formatCode>
                <c:ptCount val="9"/>
                <c:pt idx="0">
                  <c:v>2.76</c:v>
                </c:pt>
                <c:pt idx="1">
                  <c:v>3.07</c:v>
                </c:pt>
                <c:pt idx="2">
                  <c:v>2.4</c:v>
                </c:pt>
                <c:pt idx="3">
                  <c:v>2.42</c:v>
                </c:pt>
                <c:pt idx="4">
                  <c:v>1.6</c:v>
                </c:pt>
                <c:pt idx="5">
                  <c:v>1.73</c:v>
                </c:pt>
                <c:pt idx="6">
                  <c:v>2.2000000000000002</c:v>
                </c:pt>
                <c:pt idx="7">
                  <c:v>2.36</c:v>
                </c:pt>
                <c:pt idx="8">
                  <c:v>1.78</c:v>
                </c:pt>
              </c:numCache>
            </c:numRef>
          </c:val>
          <c:extLst>
            <c:ext xmlns:c16="http://schemas.microsoft.com/office/drawing/2014/chart" uri="{C3380CC4-5D6E-409C-BE32-E72D297353CC}">
              <c16:uniqueId val="{00000000-07EF-4969-9C32-5EC93AB4AED5}"/>
            </c:ext>
          </c:extLst>
        </c:ser>
        <c:ser>
          <c:idx val="1"/>
          <c:order val="1"/>
          <c:tx>
            <c:strRef>
              <c:f>'GPV working'!$G$2</c:f>
              <c:strCache>
                <c:ptCount val="1"/>
                <c:pt idx="0">
                  <c:v>Post-Removal</c:v>
                </c:pt>
              </c:strCache>
            </c:strRef>
          </c:tx>
          <c:spPr>
            <a:solidFill>
              <a:schemeClr val="accent2"/>
            </a:solidFill>
            <a:ln>
              <a:noFill/>
            </a:ln>
            <a:effectLst/>
          </c:spPr>
          <c:invertIfNegative val="0"/>
          <c:val>
            <c:numRef>
              <c:f>'GPV working'!$G$3:$G$11</c:f>
              <c:numCache>
                <c:formatCode>General</c:formatCode>
                <c:ptCount val="9"/>
                <c:pt idx="0">
                  <c:v>0</c:v>
                </c:pt>
                <c:pt idx="1">
                  <c:v>2.83</c:v>
                </c:pt>
                <c:pt idx="2">
                  <c:v>0</c:v>
                </c:pt>
                <c:pt idx="3">
                  <c:v>0</c:v>
                </c:pt>
                <c:pt idx="4">
                  <c:v>1.48</c:v>
                </c:pt>
                <c:pt idx="5">
                  <c:v>0</c:v>
                </c:pt>
                <c:pt idx="6">
                  <c:v>0</c:v>
                </c:pt>
                <c:pt idx="7">
                  <c:v>0</c:v>
                </c:pt>
                <c:pt idx="8">
                  <c:v>0</c:v>
                </c:pt>
              </c:numCache>
            </c:numRef>
          </c:val>
          <c:extLst>
            <c:ext xmlns:c16="http://schemas.microsoft.com/office/drawing/2014/chart" uri="{C3380CC4-5D6E-409C-BE32-E72D297353CC}">
              <c16:uniqueId val="{00000001-07EF-4969-9C32-5EC93AB4AED5}"/>
            </c:ext>
          </c:extLst>
        </c:ser>
        <c:dLbls>
          <c:showLegendKey val="0"/>
          <c:showVal val="0"/>
          <c:showCatName val="0"/>
          <c:showSerName val="0"/>
          <c:showPercent val="0"/>
          <c:showBubbleSize val="0"/>
        </c:dLbls>
        <c:gapWidth val="219"/>
        <c:overlap val="-27"/>
        <c:axId val="1703196672"/>
        <c:axId val="1058884256"/>
      </c:barChart>
      <c:catAx>
        <c:axId val="170319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884256"/>
        <c:crosses val="autoZero"/>
        <c:auto val="1"/>
        <c:lblAlgn val="ctr"/>
        <c:lblOffset val="100"/>
        <c:noMultiLvlLbl val="0"/>
      </c:catAx>
      <c:valAx>
        <c:axId val="1058884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Shannon Diversity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19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'GPV working'!$J$2</c:f>
              <c:strCache>
                <c:ptCount val="1"/>
                <c:pt idx="0">
                  <c:v>Ratio Pre-Removal</c:v>
                </c:pt>
              </c:strCache>
            </c:strRef>
          </c:tx>
          <c:spPr>
            <a:solidFill>
              <a:schemeClr val="accent1"/>
            </a:solidFill>
            <a:ln>
              <a:noFill/>
            </a:ln>
            <a:effectLst/>
          </c:spPr>
          <c:invertIfNegative val="0"/>
          <c:cat>
            <c:strRef>
              <c:f>'GPV working'!$B$3:$B$11</c:f>
              <c:strCache>
                <c:ptCount val="9"/>
                <c:pt idx="0">
                  <c:v>Control 1</c:v>
                </c:pt>
                <c:pt idx="1">
                  <c:v>Control 2</c:v>
                </c:pt>
                <c:pt idx="2">
                  <c:v>Control 3</c:v>
                </c:pt>
                <c:pt idx="3">
                  <c:v>Upstream 1</c:v>
                </c:pt>
                <c:pt idx="4">
                  <c:v>Upstream 2</c:v>
                </c:pt>
                <c:pt idx="5">
                  <c:v>Upstream 3</c:v>
                </c:pt>
                <c:pt idx="6">
                  <c:v>Downstream 1</c:v>
                </c:pt>
                <c:pt idx="7">
                  <c:v>Downstream 2</c:v>
                </c:pt>
                <c:pt idx="8">
                  <c:v>Downstream 3</c:v>
                </c:pt>
              </c:strCache>
            </c:strRef>
          </c:cat>
          <c:val>
            <c:numRef>
              <c:f>'GPV working'!$J$3:$J$11</c:f>
              <c:numCache>
                <c:formatCode>General</c:formatCode>
                <c:ptCount val="9"/>
                <c:pt idx="0">
                  <c:v>57.458333333333336</c:v>
                </c:pt>
                <c:pt idx="1">
                  <c:v>14590000000000</c:v>
                </c:pt>
                <c:pt idx="2">
                  <c:v>0.82352941176470584</c:v>
                </c:pt>
                <c:pt idx="3">
                  <c:v>6.75</c:v>
                </c:pt>
                <c:pt idx="4">
                  <c:v>1.2783505154639174</c:v>
                </c:pt>
                <c:pt idx="5">
                  <c:v>0.46296296296296297</c:v>
                </c:pt>
                <c:pt idx="6">
                  <c:v>0.72</c:v>
                </c:pt>
                <c:pt idx="7">
                  <c:v>2.3148148148148149</c:v>
                </c:pt>
                <c:pt idx="8">
                  <c:v>1.3888888888888888</c:v>
                </c:pt>
              </c:numCache>
            </c:numRef>
          </c:val>
          <c:extLst>
            <c:ext xmlns:c16="http://schemas.microsoft.com/office/drawing/2014/chart" uri="{C3380CC4-5D6E-409C-BE32-E72D297353CC}">
              <c16:uniqueId val="{00000000-881E-48BE-B98F-1EA62F0F4BE5}"/>
            </c:ext>
          </c:extLst>
        </c:ser>
        <c:ser>
          <c:idx val="1"/>
          <c:order val="1"/>
          <c:tx>
            <c:strRef>
              <c:f>'GPV working'!$G$2</c:f>
              <c:strCache>
                <c:ptCount val="1"/>
                <c:pt idx="0">
                  <c:v>Post-Removal</c:v>
                </c:pt>
              </c:strCache>
            </c:strRef>
          </c:tx>
          <c:spPr>
            <a:solidFill>
              <a:schemeClr val="accent2"/>
            </a:solidFill>
            <a:ln>
              <a:noFill/>
            </a:ln>
            <a:effectLst/>
          </c:spPr>
          <c:invertIfNegative val="0"/>
          <c:cat>
            <c:strRef>
              <c:f>'GPV working'!$B$3:$B$11</c:f>
              <c:strCache>
                <c:ptCount val="9"/>
                <c:pt idx="0">
                  <c:v>Control 1</c:v>
                </c:pt>
                <c:pt idx="1">
                  <c:v>Control 2</c:v>
                </c:pt>
                <c:pt idx="2">
                  <c:v>Control 3</c:v>
                </c:pt>
                <c:pt idx="3">
                  <c:v>Upstream 1</c:v>
                </c:pt>
                <c:pt idx="4">
                  <c:v>Upstream 2</c:v>
                </c:pt>
                <c:pt idx="5">
                  <c:v>Upstream 3</c:v>
                </c:pt>
                <c:pt idx="6">
                  <c:v>Downstream 1</c:v>
                </c:pt>
                <c:pt idx="7">
                  <c:v>Downstream 2</c:v>
                </c:pt>
                <c:pt idx="8">
                  <c:v>Downstream 3</c:v>
                </c:pt>
              </c:strCache>
            </c:strRef>
          </c:cat>
          <c:val>
            <c:numRef>
              <c:f>'GPV working'!$M$3:$M$11</c:f>
              <c:numCache>
                <c:formatCode>General</c:formatCode>
                <c:ptCount val="9"/>
                <c:pt idx="0">
                  <c:v>0</c:v>
                </c:pt>
                <c:pt idx="1">
                  <c:v>31170000000000</c:v>
                </c:pt>
                <c:pt idx="2">
                  <c:v>0</c:v>
                </c:pt>
                <c:pt idx="3">
                  <c:v>0</c:v>
                </c:pt>
                <c:pt idx="4">
                  <c:v>40000000000</c:v>
                </c:pt>
                <c:pt idx="5">
                  <c:v>0</c:v>
                </c:pt>
                <c:pt idx="6">
                  <c:v>0</c:v>
                </c:pt>
                <c:pt idx="7">
                  <c:v>0</c:v>
                </c:pt>
                <c:pt idx="8">
                  <c:v>0</c:v>
                </c:pt>
              </c:numCache>
            </c:numRef>
          </c:val>
          <c:extLst>
            <c:ext xmlns:c16="http://schemas.microsoft.com/office/drawing/2014/chart" uri="{C3380CC4-5D6E-409C-BE32-E72D297353CC}">
              <c16:uniqueId val="{00000001-881E-48BE-B98F-1EA62F0F4BE5}"/>
            </c:ext>
          </c:extLst>
        </c:ser>
        <c:dLbls>
          <c:showLegendKey val="0"/>
          <c:showVal val="0"/>
          <c:showCatName val="0"/>
          <c:showSerName val="0"/>
          <c:showPercent val="0"/>
          <c:showBubbleSize val="0"/>
        </c:dLbls>
        <c:gapWidth val="219"/>
        <c:overlap val="-27"/>
        <c:axId val="1703196672"/>
        <c:axId val="1058884256"/>
      </c:barChart>
      <c:catAx>
        <c:axId val="170319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884256"/>
        <c:crosses val="autoZero"/>
        <c:auto val="1"/>
        <c:lblAlgn val="ctr"/>
        <c:lblOffset val="100"/>
        <c:noMultiLvlLbl val="0"/>
      </c:catAx>
      <c:valAx>
        <c:axId val="1058884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19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'GPV working'!$N$2</c:f>
              <c:strCache>
                <c:ptCount val="1"/>
                <c:pt idx="0">
                  <c:v>Pre-Removal</c:v>
                </c:pt>
              </c:strCache>
            </c:strRef>
          </c:tx>
          <c:spPr>
            <a:solidFill>
              <a:schemeClr val="accent1"/>
            </a:solidFill>
            <a:ln>
              <a:noFill/>
            </a:ln>
            <a:effectLst/>
          </c:spPr>
          <c:invertIfNegative val="0"/>
          <c:cat>
            <c:strRef>
              <c:f>'GPV working'!$B$3:$B$11</c:f>
              <c:strCache>
                <c:ptCount val="9"/>
                <c:pt idx="0">
                  <c:v>Control 1</c:v>
                </c:pt>
                <c:pt idx="1">
                  <c:v>Control 2</c:v>
                </c:pt>
                <c:pt idx="2">
                  <c:v>Control 3</c:v>
                </c:pt>
                <c:pt idx="3">
                  <c:v>Upstream 1</c:v>
                </c:pt>
                <c:pt idx="4">
                  <c:v>Upstream 2</c:v>
                </c:pt>
                <c:pt idx="5">
                  <c:v>Upstream 3</c:v>
                </c:pt>
                <c:pt idx="6">
                  <c:v>Downstream 1</c:v>
                </c:pt>
                <c:pt idx="7">
                  <c:v>Downstream 2</c:v>
                </c:pt>
                <c:pt idx="8">
                  <c:v>Downstream 3</c:v>
                </c:pt>
              </c:strCache>
            </c:strRef>
          </c:cat>
          <c:val>
            <c:numRef>
              <c:f>'GPV working'!$N$3:$N$11</c:f>
              <c:numCache>
                <c:formatCode>General</c:formatCode>
                <c:ptCount val="9"/>
                <c:pt idx="0">
                  <c:v>36</c:v>
                </c:pt>
                <c:pt idx="1">
                  <c:v>34</c:v>
                </c:pt>
                <c:pt idx="2">
                  <c:v>30</c:v>
                </c:pt>
                <c:pt idx="3">
                  <c:v>22</c:v>
                </c:pt>
                <c:pt idx="4">
                  <c:v>20</c:v>
                </c:pt>
                <c:pt idx="5">
                  <c:v>17</c:v>
                </c:pt>
                <c:pt idx="6">
                  <c:v>16</c:v>
                </c:pt>
                <c:pt idx="7">
                  <c:v>26</c:v>
                </c:pt>
                <c:pt idx="8">
                  <c:v>18</c:v>
                </c:pt>
              </c:numCache>
            </c:numRef>
          </c:val>
          <c:extLst>
            <c:ext xmlns:c16="http://schemas.microsoft.com/office/drawing/2014/chart" uri="{C3380CC4-5D6E-409C-BE32-E72D297353CC}">
              <c16:uniqueId val="{00000000-33DA-48AB-A564-39E8D6B09F0C}"/>
            </c:ext>
          </c:extLst>
        </c:ser>
        <c:ser>
          <c:idx val="1"/>
          <c:order val="1"/>
          <c:tx>
            <c:strRef>
              <c:f>'GPV working'!$O$2</c:f>
              <c:strCache>
                <c:ptCount val="1"/>
                <c:pt idx="0">
                  <c:v>Post-Removal</c:v>
                </c:pt>
              </c:strCache>
            </c:strRef>
          </c:tx>
          <c:spPr>
            <a:solidFill>
              <a:schemeClr val="accent2"/>
            </a:solidFill>
            <a:ln>
              <a:noFill/>
            </a:ln>
            <a:effectLst/>
          </c:spPr>
          <c:invertIfNegative val="0"/>
          <c:val>
            <c:numRef>
              <c:f>'GPV working'!$O$3:$O$11</c:f>
              <c:numCache>
                <c:formatCode>General</c:formatCode>
                <c:ptCount val="9"/>
                <c:pt idx="1">
                  <c:v>34</c:v>
                </c:pt>
                <c:pt idx="4">
                  <c:v>9</c:v>
                </c:pt>
              </c:numCache>
            </c:numRef>
          </c:val>
          <c:extLst>
            <c:ext xmlns:c16="http://schemas.microsoft.com/office/drawing/2014/chart" uri="{C3380CC4-5D6E-409C-BE32-E72D297353CC}">
              <c16:uniqueId val="{00000001-33DA-48AB-A564-39E8D6B09F0C}"/>
            </c:ext>
          </c:extLst>
        </c:ser>
        <c:dLbls>
          <c:showLegendKey val="0"/>
          <c:showVal val="0"/>
          <c:showCatName val="0"/>
          <c:showSerName val="0"/>
          <c:showPercent val="0"/>
          <c:showBubbleSize val="0"/>
        </c:dLbls>
        <c:gapWidth val="219"/>
        <c:overlap val="-27"/>
        <c:axId val="1703196672"/>
        <c:axId val="1058884256"/>
      </c:barChart>
      <c:catAx>
        <c:axId val="170319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884256"/>
        <c:crosses val="autoZero"/>
        <c:auto val="1"/>
        <c:lblAlgn val="ctr"/>
        <c:lblOffset val="100"/>
        <c:noMultiLvlLbl val="0"/>
      </c:catAx>
      <c:valAx>
        <c:axId val="1058884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Taxa Richness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19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xdr:colOff>
      <xdr:row>14</xdr:row>
      <xdr:rowOff>0</xdr:rowOff>
    </xdr:from>
    <xdr:to>
      <xdr:col>4</xdr:col>
      <xdr:colOff>752475</xdr:colOff>
      <xdr:row>28</xdr:row>
      <xdr:rowOff>76200</xdr:rowOff>
    </xdr:to>
    <xdr:graphicFrame macro="">
      <xdr:nvGraphicFramePr>
        <xdr:cNvPr id="2" name="Chart 1">
          <a:extLst>
            <a:ext uri="{FF2B5EF4-FFF2-40B4-BE49-F238E27FC236}">
              <a16:creationId xmlns:a16="http://schemas.microsoft.com/office/drawing/2014/main" id="{3743A727-2A3D-A7BC-0F64-029E446720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790576</xdr:colOff>
      <xdr:row>13</xdr:row>
      <xdr:rowOff>180974</xdr:rowOff>
    </xdr:from>
    <xdr:to>
      <xdr:col>9</xdr:col>
      <xdr:colOff>561975</xdr:colOff>
      <xdr:row>28</xdr:row>
      <xdr:rowOff>76199</xdr:rowOff>
    </xdr:to>
    <xdr:graphicFrame macro="">
      <xdr:nvGraphicFramePr>
        <xdr:cNvPr id="3" name="Chart 2">
          <a:extLst>
            <a:ext uri="{FF2B5EF4-FFF2-40B4-BE49-F238E27FC236}">
              <a16:creationId xmlns:a16="http://schemas.microsoft.com/office/drawing/2014/main" id="{3F0E22FC-47C7-499F-BFEA-CE4BD8801A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209550</xdr:colOff>
      <xdr:row>14</xdr:row>
      <xdr:rowOff>9525</xdr:rowOff>
    </xdr:from>
    <xdr:to>
      <xdr:col>20</xdr:col>
      <xdr:colOff>600075</xdr:colOff>
      <xdr:row>28</xdr:row>
      <xdr:rowOff>85725</xdr:rowOff>
    </xdr:to>
    <xdr:graphicFrame macro="">
      <xdr:nvGraphicFramePr>
        <xdr:cNvPr id="4" name="Chart 3">
          <a:extLst>
            <a:ext uri="{FF2B5EF4-FFF2-40B4-BE49-F238E27FC236}">
              <a16:creationId xmlns:a16="http://schemas.microsoft.com/office/drawing/2014/main" id="{298B14A3-81D6-4D03-BC80-6AA659492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28</xdr:row>
      <xdr:rowOff>114300</xdr:rowOff>
    </xdr:from>
    <xdr:to>
      <xdr:col>4</xdr:col>
      <xdr:colOff>762000</xdr:colOff>
      <xdr:row>43</xdr:row>
      <xdr:rowOff>76200</xdr:rowOff>
    </xdr:to>
    <xdr:graphicFrame macro="">
      <xdr:nvGraphicFramePr>
        <xdr:cNvPr id="5" name="Chart 4">
          <a:extLst>
            <a:ext uri="{FF2B5EF4-FFF2-40B4-BE49-F238E27FC236}">
              <a16:creationId xmlns:a16="http://schemas.microsoft.com/office/drawing/2014/main" id="{C3B8885A-7E59-4BAA-BCED-27F886C1C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7"/>
  <sheetViews>
    <sheetView workbookViewId="0">
      <selection sqref="A1:B1"/>
    </sheetView>
  </sheetViews>
  <sheetFormatPr defaultColWidth="11.42578125" defaultRowHeight="15" x14ac:dyDescent="0.25"/>
  <cols>
    <col min="1" max="1" width="22.85546875" customWidth="1"/>
  </cols>
  <sheetData>
    <row r="1" spans="1:12" x14ac:dyDescent="0.25">
      <c r="A1" s="4" t="s">
        <v>321</v>
      </c>
      <c r="B1" s="5"/>
      <c r="F1" s="1"/>
      <c r="G1" t="s">
        <v>322</v>
      </c>
    </row>
    <row r="2" spans="1:12" x14ac:dyDescent="0.25">
      <c r="A2" s="7" t="s">
        <v>320</v>
      </c>
      <c r="B2" s="5"/>
      <c r="C2" s="5"/>
      <c r="D2" s="5"/>
      <c r="E2" s="5"/>
      <c r="G2" s="8" t="s">
        <v>324</v>
      </c>
      <c r="H2" s="5"/>
      <c r="I2" s="5"/>
      <c r="J2" s="5"/>
      <c r="K2" s="5"/>
      <c r="L2" s="5"/>
    </row>
    <row r="3" spans="1:12" x14ac:dyDescent="0.25">
      <c r="A3" s="5"/>
      <c r="B3" s="5"/>
      <c r="C3" s="5"/>
      <c r="D3" s="5"/>
      <c r="E3" s="5"/>
      <c r="G3" s="5"/>
      <c r="H3" s="5"/>
      <c r="I3" s="5"/>
      <c r="J3" s="5"/>
      <c r="K3" s="5"/>
      <c r="L3" s="5"/>
    </row>
    <row r="4" spans="1:12" x14ac:dyDescent="0.25">
      <c r="A4" s="5"/>
      <c r="B4" s="5"/>
      <c r="C4" s="5"/>
      <c r="D4" s="5"/>
      <c r="E4" s="5"/>
      <c r="G4" s="5"/>
      <c r="H4" s="5"/>
      <c r="I4" s="5"/>
      <c r="J4" s="5"/>
      <c r="K4" s="5"/>
      <c r="L4" s="5"/>
    </row>
    <row r="5" spans="1:12" x14ac:dyDescent="0.25">
      <c r="A5" s="5"/>
      <c r="B5" s="5"/>
      <c r="C5" s="5"/>
      <c r="D5" s="5"/>
      <c r="E5" s="5"/>
      <c r="G5" s="5"/>
      <c r="H5" s="5"/>
      <c r="I5" s="5"/>
      <c r="J5" s="5"/>
      <c r="K5" s="5"/>
      <c r="L5" s="5"/>
    </row>
    <row r="6" spans="1:12" x14ac:dyDescent="0.25">
      <c r="A6" s="5"/>
      <c r="B6" s="5"/>
      <c r="C6" s="5"/>
      <c r="D6" s="5"/>
      <c r="E6" s="5"/>
    </row>
    <row r="7" spans="1:12" x14ac:dyDescent="0.25">
      <c r="A7" s="5"/>
      <c r="B7" s="5"/>
      <c r="C7" s="5"/>
      <c r="D7" s="5"/>
      <c r="E7" s="5"/>
    </row>
    <row r="10" spans="1:12" x14ac:dyDescent="0.25">
      <c r="A10" s="5" t="s">
        <v>323</v>
      </c>
      <c r="B10" s="5"/>
      <c r="C10" s="5"/>
      <c r="D10" s="5"/>
      <c r="E10" s="5"/>
      <c r="F10" s="5"/>
      <c r="G10" s="5"/>
      <c r="H10" s="5"/>
      <c r="I10" s="5"/>
    </row>
    <row r="12" spans="1:12" x14ac:dyDescent="0.25">
      <c r="A12" s="1" t="s">
        <v>325</v>
      </c>
      <c r="B12" s="9" t="s">
        <v>326</v>
      </c>
      <c r="C12" s="5"/>
      <c r="D12" s="5"/>
      <c r="E12" s="5"/>
      <c r="F12" s="5"/>
      <c r="G12" s="5"/>
      <c r="H12" s="5"/>
      <c r="I12" s="5"/>
    </row>
    <row r="13" spans="1:12" x14ac:dyDescent="0.25">
      <c r="A13" s="6" t="s">
        <v>5</v>
      </c>
      <c r="B13" s="7" t="s">
        <v>333</v>
      </c>
      <c r="C13" s="5"/>
      <c r="D13" s="5"/>
      <c r="E13" s="5"/>
      <c r="F13" s="5"/>
      <c r="G13" s="5"/>
      <c r="H13" s="5"/>
      <c r="I13" s="5"/>
    </row>
    <row r="14" spans="1:12" x14ac:dyDescent="0.25">
      <c r="A14" s="5"/>
      <c r="B14" s="5"/>
      <c r="C14" s="5"/>
      <c r="D14" s="5"/>
      <c r="E14" s="5"/>
      <c r="F14" s="5"/>
      <c r="G14" s="5"/>
      <c r="H14" s="5"/>
      <c r="I14" s="5"/>
    </row>
    <row r="15" spans="1:12" x14ac:dyDescent="0.25">
      <c r="A15" s="5"/>
      <c r="B15" s="5"/>
      <c r="C15" s="5"/>
      <c r="D15" s="5"/>
      <c r="E15" s="5"/>
      <c r="F15" s="5"/>
      <c r="G15" s="5"/>
      <c r="H15" s="5"/>
      <c r="I15" s="5"/>
    </row>
    <row r="16" spans="1:12" x14ac:dyDescent="0.25">
      <c r="A16" s="5"/>
      <c r="B16" s="5"/>
      <c r="C16" s="5"/>
      <c r="D16" s="5"/>
      <c r="E16" s="5"/>
      <c r="F16" s="5"/>
      <c r="G16" s="5"/>
      <c r="H16" s="5"/>
      <c r="I16" s="5"/>
    </row>
    <row r="17" spans="1:9" x14ac:dyDescent="0.25">
      <c r="A17" s="6" t="s">
        <v>53</v>
      </c>
      <c r="B17" s="7" t="s">
        <v>334</v>
      </c>
      <c r="C17" s="5"/>
      <c r="D17" s="5"/>
      <c r="E17" s="5"/>
      <c r="F17" s="5"/>
      <c r="G17" s="5"/>
      <c r="H17" s="5"/>
      <c r="I17" s="5"/>
    </row>
    <row r="18" spans="1:9" x14ac:dyDescent="0.25">
      <c r="A18" s="5"/>
      <c r="B18" s="5"/>
      <c r="C18" s="5"/>
      <c r="D18" s="5"/>
      <c r="E18" s="5"/>
      <c r="F18" s="5"/>
      <c r="G18" s="5"/>
      <c r="H18" s="5"/>
      <c r="I18" s="5"/>
    </row>
    <row r="19" spans="1:9" x14ac:dyDescent="0.25">
      <c r="A19" s="5"/>
      <c r="B19" s="5"/>
      <c r="C19" s="5"/>
      <c r="D19" s="5"/>
      <c r="E19" s="5"/>
      <c r="F19" s="5"/>
      <c r="G19" s="5"/>
      <c r="H19" s="5"/>
      <c r="I19" s="5"/>
    </row>
    <row r="20" spans="1:9" x14ac:dyDescent="0.25">
      <c r="A20" s="5"/>
      <c r="B20" s="5"/>
      <c r="C20" s="5"/>
      <c r="D20" s="5"/>
      <c r="E20" s="5"/>
      <c r="F20" s="5"/>
      <c r="G20" s="5"/>
      <c r="H20" s="5"/>
      <c r="I20" s="5"/>
    </row>
    <row r="21" spans="1:9" x14ac:dyDescent="0.25">
      <c r="A21" s="6" t="s">
        <v>85</v>
      </c>
      <c r="B21" s="7" t="s">
        <v>335</v>
      </c>
      <c r="C21" s="5"/>
      <c r="D21" s="5"/>
      <c r="E21" s="5"/>
      <c r="F21" s="5"/>
      <c r="G21" s="5"/>
      <c r="H21" s="5"/>
      <c r="I21" s="5"/>
    </row>
    <row r="22" spans="1:9" x14ac:dyDescent="0.25">
      <c r="A22" s="5"/>
      <c r="B22" s="5"/>
      <c r="C22" s="5"/>
      <c r="D22" s="5"/>
      <c r="E22" s="5"/>
      <c r="F22" s="5"/>
      <c r="G22" s="5"/>
      <c r="H22" s="5"/>
      <c r="I22" s="5"/>
    </row>
    <row r="23" spans="1:9" x14ac:dyDescent="0.25">
      <c r="A23" s="5"/>
      <c r="B23" s="5"/>
      <c r="C23" s="5"/>
      <c r="D23" s="5"/>
      <c r="E23" s="5"/>
      <c r="F23" s="5"/>
      <c r="G23" s="5"/>
      <c r="H23" s="5"/>
      <c r="I23" s="5"/>
    </row>
    <row r="24" spans="1:9" x14ac:dyDescent="0.25">
      <c r="A24" s="5"/>
      <c r="B24" s="5"/>
      <c r="C24" s="5"/>
      <c r="D24" s="5"/>
      <c r="E24" s="5"/>
      <c r="F24" s="5"/>
      <c r="G24" s="5"/>
      <c r="H24" s="5"/>
      <c r="I24" s="5"/>
    </row>
    <row r="25" spans="1:9" x14ac:dyDescent="0.25">
      <c r="A25" s="5"/>
      <c r="B25" s="5"/>
      <c r="C25" s="5"/>
      <c r="D25" s="5"/>
      <c r="E25" s="5"/>
      <c r="F25" s="5"/>
      <c r="G25" s="5"/>
      <c r="H25" s="5"/>
      <c r="I25" s="5"/>
    </row>
    <row r="26" spans="1:9" x14ac:dyDescent="0.25">
      <c r="A26" s="6" t="s">
        <v>327</v>
      </c>
      <c r="B26" s="7" t="s">
        <v>336</v>
      </c>
      <c r="C26" s="5"/>
      <c r="D26" s="5"/>
      <c r="E26" s="5"/>
      <c r="F26" s="5"/>
      <c r="G26" s="5"/>
      <c r="H26" s="5"/>
      <c r="I26" s="5"/>
    </row>
    <row r="27" spans="1:9" x14ac:dyDescent="0.25">
      <c r="A27" s="5"/>
      <c r="B27" s="5"/>
      <c r="C27" s="5"/>
      <c r="D27" s="5"/>
      <c r="E27" s="5"/>
      <c r="F27" s="5"/>
      <c r="G27" s="5"/>
      <c r="H27" s="5"/>
      <c r="I27" s="5"/>
    </row>
    <row r="28" spans="1:9" x14ac:dyDescent="0.25">
      <c r="A28" s="5"/>
      <c r="B28" s="5"/>
      <c r="C28" s="5"/>
      <c r="D28" s="5"/>
      <c r="E28" s="5"/>
      <c r="F28" s="5"/>
      <c r="G28" s="5"/>
      <c r="H28" s="5"/>
      <c r="I28" s="5"/>
    </row>
    <row r="29" spans="1:9" x14ac:dyDescent="0.25">
      <c r="A29" s="5"/>
      <c r="B29" s="5"/>
      <c r="C29" s="5"/>
      <c r="D29" s="5"/>
      <c r="E29" s="5"/>
      <c r="F29" s="5"/>
      <c r="G29" s="5"/>
      <c r="H29" s="5"/>
      <c r="I29" s="5"/>
    </row>
    <row r="30" spans="1:9" x14ac:dyDescent="0.25">
      <c r="A30" s="5"/>
      <c r="B30" s="5"/>
      <c r="C30" s="5"/>
      <c r="D30" s="5"/>
      <c r="E30" s="5"/>
      <c r="F30" s="5"/>
      <c r="G30" s="5"/>
      <c r="H30" s="5"/>
      <c r="I30" s="5"/>
    </row>
    <row r="31" spans="1:9" x14ac:dyDescent="0.25">
      <c r="A31" s="5"/>
      <c r="B31" s="5"/>
      <c r="C31" s="5"/>
      <c r="D31" s="5"/>
      <c r="E31" s="5"/>
      <c r="F31" s="5"/>
      <c r="G31" s="5"/>
      <c r="H31" s="5"/>
      <c r="I31" s="5"/>
    </row>
    <row r="32" spans="1:9" x14ac:dyDescent="0.25">
      <c r="A32" s="5"/>
      <c r="B32" s="5"/>
      <c r="C32" s="5"/>
      <c r="D32" s="5"/>
      <c r="E32" s="5"/>
      <c r="F32" s="5"/>
      <c r="G32" s="5"/>
      <c r="H32" s="5"/>
      <c r="I32" s="5"/>
    </row>
    <row r="33" spans="1:9" x14ac:dyDescent="0.25">
      <c r="A33" s="5"/>
      <c r="B33" s="5"/>
      <c r="C33" s="5"/>
      <c r="D33" s="5"/>
      <c r="E33" s="5"/>
      <c r="F33" s="5"/>
      <c r="G33" s="5"/>
      <c r="H33" s="5"/>
      <c r="I33" s="5"/>
    </row>
    <row r="34" spans="1:9" x14ac:dyDescent="0.25">
      <c r="A34" s="6" t="s">
        <v>298</v>
      </c>
      <c r="B34" s="7" t="s">
        <v>337</v>
      </c>
      <c r="C34" s="5"/>
      <c r="D34" s="5"/>
      <c r="E34" s="5"/>
      <c r="F34" s="5"/>
      <c r="G34" s="5"/>
      <c r="H34" s="5"/>
      <c r="I34" s="5"/>
    </row>
    <row r="35" spans="1:9" x14ac:dyDescent="0.25">
      <c r="A35" s="5"/>
      <c r="B35" s="5"/>
      <c r="C35" s="5"/>
      <c r="D35" s="5"/>
      <c r="E35" s="5"/>
      <c r="F35" s="5"/>
      <c r="G35" s="5"/>
      <c r="H35" s="5"/>
      <c r="I35" s="5"/>
    </row>
    <row r="36" spans="1:9" x14ac:dyDescent="0.25">
      <c r="A36" s="5"/>
      <c r="B36" s="5"/>
      <c r="C36" s="5"/>
      <c r="D36" s="5"/>
      <c r="E36" s="5"/>
      <c r="F36" s="5"/>
      <c r="G36" s="5"/>
      <c r="H36" s="5"/>
      <c r="I36" s="5"/>
    </row>
    <row r="38" spans="1:9" x14ac:dyDescent="0.25">
      <c r="A38" s="4" t="s">
        <v>328</v>
      </c>
      <c r="B38" s="5"/>
      <c r="C38" s="5"/>
      <c r="D38" s="5"/>
      <c r="E38" s="5"/>
      <c r="F38" s="5"/>
      <c r="G38" s="5"/>
      <c r="H38" s="5"/>
      <c r="I38" s="5"/>
    </row>
    <row r="39" spans="1:9" x14ac:dyDescent="0.25">
      <c r="A39" s="6" t="s">
        <v>329</v>
      </c>
      <c r="B39" s="7" t="s">
        <v>338</v>
      </c>
      <c r="C39" s="5"/>
      <c r="D39" s="5"/>
      <c r="E39" s="5"/>
      <c r="F39" s="5"/>
      <c r="G39" s="5"/>
      <c r="H39" s="5"/>
      <c r="I39" s="5"/>
    </row>
    <row r="40" spans="1:9" x14ac:dyDescent="0.25">
      <c r="A40" s="5"/>
      <c r="B40" s="5"/>
      <c r="C40" s="5"/>
      <c r="D40" s="5"/>
      <c r="E40" s="5"/>
      <c r="F40" s="5"/>
      <c r="G40" s="5"/>
      <c r="H40" s="5"/>
      <c r="I40" s="5"/>
    </row>
    <row r="41" spans="1:9" x14ac:dyDescent="0.25">
      <c r="A41" s="5"/>
      <c r="B41" s="5"/>
      <c r="C41" s="5"/>
      <c r="D41" s="5"/>
      <c r="E41" s="5"/>
      <c r="F41" s="5"/>
      <c r="G41" s="5"/>
      <c r="H41" s="5"/>
      <c r="I41" s="5"/>
    </row>
    <row r="42" spans="1:9" x14ac:dyDescent="0.25">
      <c r="A42" s="6" t="s">
        <v>330</v>
      </c>
      <c r="B42" s="7" t="s">
        <v>339</v>
      </c>
      <c r="C42" s="5"/>
      <c r="D42" s="5"/>
      <c r="E42" s="5"/>
      <c r="F42" s="5"/>
      <c r="G42" s="5"/>
      <c r="H42" s="5"/>
      <c r="I42" s="5"/>
    </row>
    <row r="43" spans="1:9" x14ac:dyDescent="0.25">
      <c r="A43" s="5"/>
      <c r="B43" s="5"/>
      <c r="C43" s="5"/>
      <c r="D43" s="5"/>
      <c r="E43" s="5"/>
      <c r="F43" s="5"/>
      <c r="G43" s="5"/>
      <c r="H43" s="5"/>
      <c r="I43" s="5"/>
    </row>
    <row r="44" spans="1:9" x14ac:dyDescent="0.25">
      <c r="A44" s="5"/>
      <c r="B44" s="5"/>
      <c r="C44" s="5"/>
      <c r="D44" s="5"/>
      <c r="E44" s="5"/>
      <c r="F44" s="5"/>
      <c r="G44" s="5"/>
      <c r="H44" s="5"/>
      <c r="I44" s="5"/>
    </row>
    <row r="45" spans="1:9" x14ac:dyDescent="0.25">
      <c r="A45" s="5"/>
      <c r="B45" s="5"/>
      <c r="C45" s="5"/>
      <c r="D45" s="5"/>
      <c r="E45" s="5"/>
      <c r="F45" s="5"/>
      <c r="G45" s="5"/>
      <c r="H45" s="5"/>
      <c r="I45" s="5"/>
    </row>
    <row r="46" spans="1:9" x14ac:dyDescent="0.25">
      <c r="A46" s="5"/>
      <c r="B46" s="5"/>
      <c r="C46" s="5"/>
      <c r="D46" s="5"/>
      <c r="E46" s="5"/>
      <c r="F46" s="5"/>
      <c r="G46" s="5"/>
      <c r="H46" s="5"/>
      <c r="I46" s="5"/>
    </row>
    <row r="47" spans="1:9" x14ac:dyDescent="0.25">
      <c r="A47" s="5"/>
      <c r="B47" s="5"/>
      <c r="C47" s="5"/>
      <c r="D47" s="5"/>
      <c r="E47" s="5"/>
      <c r="F47" s="5"/>
      <c r="G47" s="5"/>
      <c r="H47" s="5"/>
      <c r="I47" s="5"/>
    </row>
    <row r="48" spans="1:9" x14ac:dyDescent="0.25">
      <c r="A48" s="5"/>
      <c r="B48" s="5"/>
      <c r="C48" s="5"/>
      <c r="D48" s="5"/>
      <c r="E48" s="5"/>
      <c r="F48" s="5"/>
      <c r="G48" s="5"/>
      <c r="H48" s="5"/>
      <c r="I48" s="5"/>
    </row>
    <row r="49" spans="1:9" x14ac:dyDescent="0.25">
      <c r="A49" s="5"/>
      <c r="B49" s="5"/>
      <c r="C49" s="5"/>
      <c r="D49" s="5"/>
      <c r="E49" s="5"/>
      <c r="F49" s="5"/>
      <c r="G49" s="5"/>
      <c r="H49" s="5"/>
      <c r="I49" s="5"/>
    </row>
    <row r="50" spans="1:9" x14ac:dyDescent="0.25">
      <c r="A50" s="6" t="s">
        <v>331</v>
      </c>
      <c r="B50" s="7" t="s">
        <v>340</v>
      </c>
      <c r="C50" s="5"/>
      <c r="D50" s="5"/>
      <c r="E50" s="5"/>
      <c r="F50" s="5"/>
      <c r="G50" s="5"/>
      <c r="H50" s="5"/>
      <c r="I50" s="5"/>
    </row>
    <row r="51" spans="1:9" x14ac:dyDescent="0.25">
      <c r="A51" s="5"/>
      <c r="B51" s="5"/>
      <c r="C51" s="5"/>
      <c r="D51" s="5"/>
      <c r="E51" s="5"/>
      <c r="F51" s="5"/>
      <c r="G51" s="5"/>
      <c r="H51" s="5"/>
      <c r="I51" s="5"/>
    </row>
    <row r="52" spans="1:9" x14ac:dyDescent="0.25">
      <c r="A52" s="5"/>
      <c r="B52" s="5"/>
      <c r="C52" s="5"/>
      <c r="D52" s="5"/>
      <c r="E52" s="5"/>
      <c r="F52" s="5"/>
      <c r="G52" s="5"/>
      <c r="H52" s="5"/>
      <c r="I52" s="5"/>
    </row>
    <row r="53" spans="1:9" x14ac:dyDescent="0.25">
      <c r="A53" s="5"/>
      <c r="B53" s="5"/>
      <c r="C53" s="5"/>
      <c r="D53" s="5"/>
      <c r="E53" s="5"/>
      <c r="F53" s="5"/>
      <c r="G53" s="5"/>
      <c r="H53" s="5"/>
      <c r="I53" s="5"/>
    </row>
    <row r="54" spans="1:9" x14ac:dyDescent="0.25">
      <c r="A54" s="6" t="s">
        <v>332</v>
      </c>
      <c r="B54" s="7" t="s">
        <v>341</v>
      </c>
      <c r="C54" s="5"/>
      <c r="D54" s="5"/>
      <c r="E54" s="5"/>
      <c r="F54" s="5"/>
      <c r="G54" s="5"/>
      <c r="H54" s="5"/>
      <c r="I54" s="5"/>
    </row>
    <row r="55" spans="1:9" x14ac:dyDescent="0.25">
      <c r="A55" s="5"/>
      <c r="B55" s="5"/>
      <c r="C55" s="5"/>
      <c r="D55" s="5"/>
      <c r="E55" s="5"/>
      <c r="F55" s="5"/>
      <c r="G55" s="5"/>
      <c r="H55" s="5"/>
      <c r="I55" s="5"/>
    </row>
    <row r="56" spans="1:9" x14ac:dyDescent="0.25">
      <c r="A56" s="5"/>
      <c r="B56" s="5"/>
      <c r="C56" s="5"/>
      <c r="D56" s="5"/>
      <c r="E56" s="5"/>
      <c r="F56" s="5"/>
      <c r="G56" s="5"/>
      <c r="H56" s="5"/>
      <c r="I56" s="5"/>
    </row>
    <row r="57" spans="1:9" x14ac:dyDescent="0.25">
      <c r="A57" s="5"/>
      <c r="B57" s="5"/>
      <c r="C57" s="5"/>
      <c r="D57" s="5"/>
      <c r="E57" s="5"/>
      <c r="F57" s="5"/>
      <c r="G57" s="5"/>
      <c r="H57" s="5"/>
      <c r="I57" s="5"/>
    </row>
  </sheetData>
  <mergeCells count="24">
    <mergeCell ref="A2:E7"/>
    <mergeCell ref="A1:B1"/>
    <mergeCell ref="G2:L5"/>
    <mergeCell ref="A10:I10"/>
    <mergeCell ref="B12:I12"/>
    <mergeCell ref="A13:A16"/>
    <mergeCell ref="A17:A20"/>
    <mergeCell ref="A21:A25"/>
    <mergeCell ref="A26:A33"/>
    <mergeCell ref="A34:A36"/>
    <mergeCell ref="B13:I16"/>
    <mergeCell ref="B17:I20"/>
    <mergeCell ref="B21:I25"/>
    <mergeCell ref="B26:I33"/>
    <mergeCell ref="B34:I36"/>
    <mergeCell ref="A38:I38"/>
    <mergeCell ref="A39:A41"/>
    <mergeCell ref="A42:A49"/>
    <mergeCell ref="A50:A53"/>
    <mergeCell ref="A54:A57"/>
    <mergeCell ref="B39:I41"/>
    <mergeCell ref="B42:I49"/>
    <mergeCell ref="B50:I53"/>
    <mergeCell ref="B54:I57"/>
  </mergeCell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4"/>
  <sheetViews>
    <sheetView topLeftCell="A9" workbookViewId="0">
      <selection activeCell="D30" sqref="D30"/>
    </sheetView>
  </sheetViews>
  <sheetFormatPr defaultColWidth="11.42578125" defaultRowHeight="15" x14ac:dyDescent="0.25"/>
  <cols>
    <col min="2" max="2" width="30.5703125" customWidth="1"/>
    <col min="3" max="3" width="73.28515625" customWidth="1"/>
    <col min="4" max="4" width="61.28515625" customWidth="1"/>
    <col min="5" max="5" width="51.28515625" customWidth="1"/>
  </cols>
  <sheetData>
    <row r="1" spans="1:5" x14ac:dyDescent="0.25">
      <c r="A1" s="1" t="s">
        <v>0</v>
      </c>
      <c r="B1" s="1" t="s">
        <v>1</v>
      </c>
      <c r="C1" s="1" t="s">
        <v>2</v>
      </c>
      <c r="D1" s="1" t="s">
        <v>3</v>
      </c>
      <c r="E1" s="1" t="s">
        <v>4</v>
      </c>
    </row>
    <row r="2" spans="1:5" x14ac:dyDescent="0.25">
      <c r="A2" s="6" t="s">
        <v>5</v>
      </c>
      <c r="B2" t="s">
        <v>6</v>
      </c>
      <c r="C2" s="2" t="s">
        <v>7</v>
      </c>
      <c r="D2" s="2" t="s">
        <v>8</v>
      </c>
      <c r="E2" t="s">
        <v>8</v>
      </c>
    </row>
    <row r="3" spans="1:5" x14ac:dyDescent="0.25">
      <c r="A3" s="5" t="s">
        <v>9</v>
      </c>
      <c r="B3" t="s">
        <v>10</v>
      </c>
      <c r="C3" s="2" t="s">
        <v>11</v>
      </c>
      <c r="D3" s="2" t="s">
        <v>8</v>
      </c>
      <c r="E3" t="s">
        <v>8</v>
      </c>
    </row>
    <row r="4" spans="1:5" ht="30" x14ac:dyDescent="0.25">
      <c r="A4" s="5" t="s">
        <v>9</v>
      </c>
      <c r="B4" t="s">
        <v>12</v>
      </c>
      <c r="C4" s="2" t="s">
        <v>13</v>
      </c>
      <c r="D4" s="2" t="s">
        <v>8</v>
      </c>
      <c r="E4" t="s">
        <v>8</v>
      </c>
    </row>
    <row r="5" spans="1:5" ht="30" x14ac:dyDescent="0.25">
      <c r="A5" s="5" t="s">
        <v>9</v>
      </c>
      <c r="B5" t="s">
        <v>14</v>
      </c>
      <c r="C5" s="2" t="s">
        <v>15</v>
      </c>
      <c r="D5" s="2" t="s">
        <v>8</v>
      </c>
      <c r="E5" t="s">
        <v>8</v>
      </c>
    </row>
    <row r="6" spans="1:5" x14ac:dyDescent="0.25">
      <c r="A6" s="5" t="s">
        <v>9</v>
      </c>
      <c r="B6" t="s">
        <v>16</v>
      </c>
      <c r="C6" s="2" t="s">
        <v>17</v>
      </c>
      <c r="D6" s="2" t="s">
        <v>8</v>
      </c>
      <c r="E6" t="s">
        <v>8</v>
      </c>
    </row>
    <row r="7" spans="1:5" ht="30" x14ac:dyDescent="0.25">
      <c r="A7" s="5" t="s">
        <v>9</v>
      </c>
      <c r="B7" t="s">
        <v>18</v>
      </c>
      <c r="C7" s="2" t="s">
        <v>19</v>
      </c>
      <c r="D7" s="2" t="s">
        <v>8</v>
      </c>
      <c r="E7" t="s">
        <v>8</v>
      </c>
    </row>
    <row r="8" spans="1:5" ht="30" x14ac:dyDescent="0.25">
      <c r="A8" s="5" t="s">
        <v>9</v>
      </c>
      <c r="B8" t="s">
        <v>20</v>
      </c>
      <c r="C8" s="2" t="s">
        <v>21</v>
      </c>
      <c r="D8" s="2" t="s">
        <v>8</v>
      </c>
      <c r="E8" t="s">
        <v>8</v>
      </c>
    </row>
    <row r="9" spans="1:5" x14ac:dyDescent="0.25">
      <c r="A9" s="5" t="s">
        <v>9</v>
      </c>
      <c r="B9" t="s">
        <v>22</v>
      </c>
      <c r="C9" s="2" t="s">
        <v>23</v>
      </c>
      <c r="D9" s="2" t="s">
        <v>8</v>
      </c>
      <c r="E9" t="s">
        <v>8</v>
      </c>
    </row>
    <row r="10" spans="1:5" x14ac:dyDescent="0.25">
      <c r="A10" s="5" t="s">
        <v>9</v>
      </c>
      <c r="B10" t="s">
        <v>24</v>
      </c>
      <c r="C10" s="2" t="s">
        <v>25</v>
      </c>
      <c r="D10" s="2" t="s">
        <v>8</v>
      </c>
      <c r="E10" t="s">
        <v>8</v>
      </c>
    </row>
    <row r="11" spans="1:5" x14ac:dyDescent="0.25">
      <c r="A11" s="5" t="s">
        <v>9</v>
      </c>
      <c r="B11" t="s">
        <v>26</v>
      </c>
      <c r="C11" s="2" t="s">
        <v>27</v>
      </c>
      <c r="D11" s="2" t="s">
        <v>8</v>
      </c>
      <c r="E11" t="s">
        <v>8</v>
      </c>
    </row>
    <row r="12" spans="1:5" x14ac:dyDescent="0.25">
      <c r="A12" s="5" t="s">
        <v>9</v>
      </c>
      <c r="B12" t="s">
        <v>28</v>
      </c>
      <c r="C12" s="2" t="s">
        <v>29</v>
      </c>
      <c r="D12" s="2" t="s">
        <v>8</v>
      </c>
      <c r="E12" t="s">
        <v>8</v>
      </c>
    </row>
    <row r="13" spans="1:5" x14ac:dyDescent="0.25">
      <c r="A13" s="5" t="s">
        <v>9</v>
      </c>
      <c r="B13" t="s">
        <v>30</v>
      </c>
      <c r="C13" s="2" t="s">
        <v>31</v>
      </c>
      <c r="D13" s="2" t="s">
        <v>8</v>
      </c>
      <c r="E13" t="s">
        <v>8</v>
      </c>
    </row>
    <row r="14" spans="1:5" x14ac:dyDescent="0.25">
      <c r="A14" s="5" t="s">
        <v>9</v>
      </c>
      <c r="B14" t="s">
        <v>32</v>
      </c>
      <c r="C14" s="2" t="s">
        <v>33</v>
      </c>
      <c r="D14" s="2" t="s">
        <v>8</v>
      </c>
      <c r="E14" t="s">
        <v>8</v>
      </c>
    </row>
    <row r="15" spans="1:5" x14ac:dyDescent="0.25">
      <c r="A15" s="5" t="s">
        <v>9</v>
      </c>
      <c r="B15" t="s">
        <v>34</v>
      </c>
      <c r="C15" s="2" t="s">
        <v>35</v>
      </c>
      <c r="D15" s="2" t="s">
        <v>8</v>
      </c>
      <c r="E15" t="s">
        <v>8</v>
      </c>
    </row>
    <row r="16" spans="1:5" x14ac:dyDescent="0.25">
      <c r="A16" s="5" t="s">
        <v>9</v>
      </c>
      <c r="B16" t="s">
        <v>36</v>
      </c>
      <c r="C16" s="2" t="s">
        <v>37</v>
      </c>
      <c r="D16" s="2" t="s">
        <v>8</v>
      </c>
      <c r="E16" t="s">
        <v>8</v>
      </c>
    </row>
    <row r="17" spans="1:5" x14ac:dyDescent="0.25">
      <c r="A17" s="5" t="s">
        <v>9</v>
      </c>
      <c r="B17" t="s">
        <v>38</v>
      </c>
      <c r="C17" s="2" t="s">
        <v>39</v>
      </c>
      <c r="D17" s="2" t="s">
        <v>8</v>
      </c>
      <c r="E17" t="s">
        <v>8</v>
      </c>
    </row>
    <row r="18" spans="1:5" ht="60" x14ac:dyDescent="0.25">
      <c r="A18" s="5" t="s">
        <v>9</v>
      </c>
      <c r="B18" t="s">
        <v>40</v>
      </c>
      <c r="C18" s="2" t="s">
        <v>41</v>
      </c>
      <c r="D18" s="2" t="s">
        <v>42</v>
      </c>
      <c r="E18" t="s">
        <v>8</v>
      </c>
    </row>
    <row r="19" spans="1:5" x14ac:dyDescent="0.25">
      <c r="A19" s="5" t="s">
        <v>9</v>
      </c>
      <c r="B19" t="s">
        <v>43</v>
      </c>
      <c r="C19" s="2" t="s">
        <v>44</v>
      </c>
      <c r="D19" s="2" t="s">
        <v>8</v>
      </c>
      <c r="E19" t="s">
        <v>8</v>
      </c>
    </row>
    <row r="20" spans="1:5" x14ac:dyDescent="0.25">
      <c r="A20" s="5" t="s">
        <v>9</v>
      </c>
      <c r="B20" t="s">
        <v>45</v>
      </c>
      <c r="C20" s="2" t="s">
        <v>46</v>
      </c>
      <c r="D20" s="2" t="s">
        <v>8</v>
      </c>
      <c r="E20" t="s">
        <v>8</v>
      </c>
    </row>
    <row r="21" spans="1:5" ht="75" x14ac:dyDescent="0.25">
      <c r="A21" s="5" t="s">
        <v>9</v>
      </c>
      <c r="B21" t="s">
        <v>47</v>
      </c>
      <c r="C21" s="2" t="s">
        <v>48</v>
      </c>
      <c r="D21" s="2" t="s">
        <v>8</v>
      </c>
      <c r="E21" t="s">
        <v>8</v>
      </c>
    </row>
    <row r="22" spans="1:5" x14ac:dyDescent="0.25">
      <c r="A22" s="5" t="s">
        <v>9</v>
      </c>
      <c r="B22" t="s">
        <v>49</v>
      </c>
      <c r="C22" s="2" t="s">
        <v>50</v>
      </c>
      <c r="D22" s="2" t="s">
        <v>9</v>
      </c>
      <c r="E22" t="s">
        <v>9</v>
      </c>
    </row>
    <row r="23" spans="1:5" x14ac:dyDescent="0.25">
      <c r="A23" s="5" t="s">
        <v>9</v>
      </c>
      <c r="B23" t="s">
        <v>51</v>
      </c>
      <c r="C23" s="2" t="s">
        <v>52</v>
      </c>
      <c r="D23" s="2" t="s">
        <v>8</v>
      </c>
      <c r="E23" t="s">
        <v>8</v>
      </c>
    </row>
    <row r="24" spans="1:5" x14ac:dyDescent="0.25">
      <c r="A24" s="6" t="s">
        <v>53</v>
      </c>
      <c r="B24" t="s">
        <v>6</v>
      </c>
      <c r="C24" s="2" t="s">
        <v>7</v>
      </c>
      <c r="D24" s="2" t="s">
        <v>8</v>
      </c>
      <c r="E24" t="s">
        <v>8</v>
      </c>
    </row>
    <row r="25" spans="1:5" x14ac:dyDescent="0.25">
      <c r="A25" s="5" t="s">
        <v>9</v>
      </c>
      <c r="B25" t="s">
        <v>10</v>
      </c>
      <c r="C25" s="2" t="s">
        <v>11</v>
      </c>
      <c r="D25" s="2" t="s">
        <v>8</v>
      </c>
      <c r="E25" t="s">
        <v>8</v>
      </c>
    </row>
    <row r="26" spans="1:5" ht="30" x14ac:dyDescent="0.25">
      <c r="A26" s="5" t="s">
        <v>9</v>
      </c>
      <c r="B26" t="s">
        <v>12</v>
      </c>
      <c r="C26" s="2" t="s">
        <v>13</v>
      </c>
      <c r="D26" s="2" t="s">
        <v>8</v>
      </c>
      <c r="E26" t="s">
        <v>8</v>
      </c>
    </row>
    <row r="27" spans="1:5" x14ac:dyDescent="0.25">
      <c r="A27" s="5" t="s">
        <v>9</v>
      </c>
      <c r="B27" t="s">
        <v>54</v>
      </c>
      <c r="C27" s="2" t="s">
        <v>55</v>
      </c>
      <c r="D27" s="2" t="s">
        <v>8</v>
      </c>
      <c r="E27" t="s">
        <v>8</v>
      </c>
    </row>
    <row r="28" spans="1:5" x14ac:dyDescent="0.25">
      <c r="A28" s="5" t="s">
        <v>9</v>
      </c>
      <c r="B28" t="s">
        <v>56</v>
      </c>
      <c r="C28" s="2" t="s">
        <v>57</v>
      </c>
      <c r="D28" s="2" t="s">
        <v>8</v>
      </c>
      <c r="E28" t="s">
        <v>8</v>
      </c>
    </row>
    <row r="29" spans="1:5" ht="105" x14ac:dyDescent="0.25">
      <c r="A29" s="5" t="s">
        <v>9</v>
      </c>
      <c r="B29" t="s">
        <v>58</v>
      </c>
      <c r="C29" s="2" t="s">
        <v>59</v>
      </c>
      <c r="D29" s="2" t="s">
        <v>60</v>
      </c>
      <c r="E29" t="s">
        <v>61</v>
      </c>
    </row>
    <row r="30" spans="1:5" ht="45" x14ac:dyDescent="0.25">
      <c r="A30" s="5" t="s">
        <v>9</v>
      </c>
      <c r="B30" t="s">
        <v>62</v>
      </c>
      <c r="C30" s="2" t="s">
        <v>63</v>
      </c>
      <c r="D30" s="2" t="s">
        <v>64</v>
      </c>
      <c r="E30" t="s">
        <v>61</v>
      </c>
    </row>
    <row r="31" spans="1:5" ht="45" x14ac:dyDescent="0.25">
      <c r="A31" s="5" t="s">
        <v>9</v>
      </c>
      <c r="B31" t="s">
        <v>65</v>
      </c>
      <c r="C31" s="2" t="s">
        <v>66</v>
      </c>
      <c r="D31" s="2" t="s">
        <v>64</v>
      </c>
      <c r="E31" t="s">
        <v>61</v>
      </c>
    </row>
    <row r="32" spans="1:5" ht="135" x14ac:dyDescent="0.25">
      <c r="A32" s="5" t="s">
        <v>9</v>
      </c>
      <c r="B32" t="s">
        <v>67</v>
      </c>
      <c r="C32" s="2" t="s">
        <v>68</v>
      </c>
      <c r="D32" s="2" t="s">
        <v>69</v>
      </c>
      <c r="E32" t="s">
        <v>61</v>
      </c>
    </row>
    <row r="33" spans="1:5" ht="60" x14ac:dyDescent="0.25">
      <c r="A33" s="5" t="s">
        <v>9</v>
      </c>
      <c r="B33" t="s">
        <v>70</v>
      </c>
      <c r="C33" s="2" t="s">
        <v>71</v>
      </c>
      <c r="D33" s="2" t="s">
        <v>72</v>
      </c>
      <c r="E33" t="s">
        <v>8</v>
      </c>
    </row>
    <row r="34" spans="1:5" ht="150" x14ac:dyDescent="0.25">
      <c r="A34" s="5" t="s">
        <v>9</v>
      </c>
      <c r="B34" t="s">
        <v>73</v>
      </c>
      <c r="C34" s="2" t="s">
        <v>74</v>
      </c>
      <c r="D34" s="2" t="s">
        <v>75</v>
      </c>
      <c r="E34" t="s">
        <v>8</v>
      </c>
    </row>
    <row r="35" spans="1:5" x14ac:dyDescent="0.25">
      <c r="A35" s="5" t="s">
        <v>9</v>
      </c>
      <c r="B35" t="s">
        <v>76</v>
      </c>
      <c r="C35" s="2" t="s">
        <v>77</v>
      </c>
      <c r="D35" s="2" t="s">
        <v>78</v>
      </c>
      <c r="E35" t="s">
        <v>8</v>
      </c>
    </row>
    <row r="36" spans="1:5" ht="30" x14ac:dyDescent="0.25">
      <c r="A36" s="5" t="s">
        <v>9</v>
      </c>
      <c r="B36" t="s">
        <v>79</v>
      </c>
      <c r="C36" s="2" t="s">
        <v>80</v>
      </c>
      <c r="D36" s="2" t="s">
        <v>78</v>
      </c>
      <c r="E36" t="s">
        <v>8</v>
      </c>
    </row>
    <row r="37" spans="1:5" ht="30" x14ac:dyDescent="0.25">
      <c r="A37" s="5" t="s">
        <v>9</v>
      </c>
      <c r="B37" t="s">
        <v>81</v>
      </c>
      <c r="C37" s="2" t="s">
        <v>82</v>
      </c>
      <c r="D37" s="2" t="s">
        <v>78</v>
      </c>
      <c r="E37" t="s">
        <v>8</v>
      </c>
    </row>
    <row r="38" spans="1:5" x14ac:dyDescent="0.25">
      <c r="A38" s="5" t="s">
        <v>9</v>
      </c>
      <c r="B38" t="s">
        <v>83</v>
      </c>
      <c r="C38" s="2" t="s">
        <v>84</v>
      </c>
      <c r="D38" s="2" t="s">
        <v>78</v>
      </c>
      <c r="E38" t="s">
        <v>8</v>
      </c>
    </row>
    <row r="39" spans="1:5" x14ac:dyDescent="0.25">
      <c r="A39" s="6" t="s">
        <v>85</v>
      </c>
      <c r="B39" t="s">
        <v>6</v>
      </c>
      <c r="C39" s="2" t="s">
        <v>7</v>
      </c>
      <c r="D39" s="2" t="s">
        <v>8</v>
      </c>
      <c r="E39" t="s">
        <v>8</v>
      </c>
    </row>
    <row r="40" spans="1:5" x14ac:dyDescent="0.25">
      <c r="A40" s="5" t="s">
        <v>9</v>
      </c>
      <c r="B40" t="s">
        <v>10</v>
      </c>
      <c r="C40" s="2" t="s">
        <v>11</v>
      </c>
      <c r="D40" s="2" t="s">
        <v>8</v>
      </c>
      <c r="E40" t="s">
        <v>8</v>
      </c>
    </row>
    <row r="41" spans="1:5" ht="30" x14ac:dyDescent="0.25">
      <c r="A41" s="5" t="s">
        <v>9</v>
      </c>
      <c r="B41" t="s">
        <v>12</v>
      </c>
      <c r="C41" s="2" t="s">
        <v>13</v>
      </c>
      <c r="D41" s="2" t="s">
        <v>8</v>
      </c>
      <c r="E41" t="s">
        <v>8</v>
      </c>
    </row>
    <row r="42" spans="1:5" x14ac:dyDescent="0.25">
      <c r="A42" s="5" t="s">
        <v>9</v>
      </c>
      <c r="B42" t="s">
        <v>86</v>
      </c>
      <c r="C42" s="2" t="s">
        <v>87</v>
      </c>
      <c r="D42" s="2" t="s">
        <v>88</v>
      </c>
      <c r="E42" t="s">
        <v>89</v>
      </c>
    </row>
    <row r="43" spans="1:5" x14ac:dyDescent="0.25">
      <c r="A43" s="5" t="s">
        <v>9</v>
      </c>
      <c r="B43" t="s">
        <v>90</v>
      </c>
      <c r="C43" s="2" t="s">
        <v>91</v>
      </c>
      <c r="D43" s="2" t="s">
        <v>92</v>
      </c>
      <c r="E43" t="s">
        <v>89</v>
      </c>
    </row>
    <row r="44" spans="1:5" x14ac:dyDescent="0.25">
      <c r="A44" s="5" t="s">
        <v>9</v>
      </c>
      <c r="B44" t="s">
        <v>93</v>
      </c>
      <c r="C44" s="2" t="s">
        <v>94</v>
      </c>
      <c r="D44" s="2" t="s">
        <v>95</v>
      </c>
      <c r="E44" t="s">
        <v>89</v>
      </c>
    </row>
    <row r="45" spans="1:5" x14ac:dyDescent="0.25">
      <c r="A45" s="5" t="s">
        <v>9</v>
      </c>
      <c r="B45" t="s">
        <v>96</v>
      </c>
      <c r="C45" s="2" t="s">
        <v>97</v>
      </c>
      <c r="D45" s="2" t="s">
        <v>98</v>
      </c>
      <c r="E45" t="s">
        <v>89</v>
      </c>
    </row>
    <row r="46" spans="1:5" x14ac:dyDescent="0.25">
      <c r="A46" s="5" t="s">
        <v>9</v>
      </c>
      <c r="B46" t="s">
        <v>99</v>
      </c>
      <c r="C46" s="2" t="s">
        <v>100</v>
      </c>
      <c r="D46" s="2" t="s">
        <v>101</v>
      </c>
      <c r="E46" t="s">
        <v>89</v>
      </c>
    </row>
    <row r="47" spans="1:5" x14ac:dyDescent="0.25">
      <c r="A47" s="5" t="s">
        <v>9</v>
      </c>
      <c r="B47" t="s">
        <v>102</v>
      </c>
      <c r="C47" s="2" t="s">
        <v>103</v>
      </c>
      <c r="D47" s="2" t="s">
        <v>104</v>
      </c>
      <c r="E47" t="s">
        <v>89</v>
      </c>
    </row>
    <row r="48" spans="1:5" x14ac:dyDescent="0.25">
      <c r="A48" s="5" t="s">
        <v>9</v>
      </c>
      <c r="B48" t="s">
        <v>105</v>
      </c>
      <c r="C48" s="2" t="s">
        <v>106</v>
      </c>
      <c r="D48" s="2" t="s">
        <v>107</v>
      </c>
      <c r="E48" t="s">
        <v>89</v>
      </c>
    </row>
    <row r="49" spans="1:5" x14ac:dyDescent="0.25">
      <c r="A49" s="5" t="s">
        <v>9</v>
      </c>
      <c r="B49" t="s">
        <v>108</v>
      </c>
      <c r="C49" s="2" t="s">
        <v>109</v>
      </c>
      <c r="D49" s="2" t="s">
        <v>110</v>
      </c>
      <c r="E49" t="s">
        <v>89</v>
      </c>
    </row>
    <row r="50" spans="1:5" x14ac:dyDescent="0.25">
      <c r="A50" s="5" t="s">
        <v>9</v>
      </c>
      <c r="B50" t="s">
        <v>111</v>
      </c>
      <c r="C50" s="2" t="s">
        <v>112</v>
      </c>
      <c r="D50" s="2" t="s">
        <v>113</v>
      </c>
      <c r="E50" t="s">
        <v>89</v>
      </c>
    </row>
    <row r="51" spans="1:5" x14ac:dyDescent="0.25">
      <c r="A51" s="5" t="s">
        <v>9</v>
      </c>
      <c r="B51" t="s">
        <v>114</v>
      </c>
      <c r="C51" s="2" t="s">
        <v>115</v>
      </c>
      <c r="D51" s="2" t="s">
        <v>116</v>
      </c>
      <c r="E51" t="s">
        <v>89</v>
      </c>
    </row>
    <row r="52" spans="1:5" x14ac:dyDescent="0.25">
      <c r="A52" s="5" t="s">
        <v>9</v>
      </c>
      <c r="B52" t="s">
        <v>117</v>
      </c>
      <c r="C52" s="2" t="s">
        <v>118</v>
      </c>
      <c r="D52" s="2" t="s">
        <v>119</v>
      </c>
      <c r="E52" t="s">
        <v>89</v>
      </c>
    </row>
    <row r="53" spans="1:5" x14ac:dyDescent="0.25">
      <c r="A53" s="5" t="s">
        <v>9</v>
      </c>
      <c r="B53" t="s">
        <v>120</v>
      </c>
      <c r="C53" s="2" t="s">
        <v>121</v>
      </c>
      <c r="D53" s="2" t="s">
        <v>122</v>
      </c>
      <c r="E53" t="s">
        <v>89</v>
      </c>
    </row>
    <row r="54" spans="1:5" x14ac:dyDescent="0.25">
      <c r="A54" s="5" t="s">
        <v>9</v>
      </c>
      <c r="B54" t="s">
        <v>123</v>
      </c>
      <c r="C54" s="2" t="s">
        <v>124</v>
      </c>
      <c r="D54" s="2" t="s">
        <v>125</v>
      </c>
      <c r="E54" t="s">
        <v>89</v>
      </c>
    </row>
    <row r="55" spans="1:5" x14ac:dyDescent="0.25">
      <c r="A55" s="5" t="s">
        <v>9</v>
      </c>
      <c r="B55" t="s">
        <v>126</v>
      </c>
      <c r="C55" s="2" t="s">
        <v>127</v>
      </c>
      <c r="D55" s="2" t="s">
        <v>128</v>
      </c>
      <c r="E55" t="s">
        <v>89</v>
      </c>
    </row>
    <row r="56" spans="1:5" x14ac:dyDescent="0.25">
      <c r="A56" s="5" t="s">
        <v>9</v>
      </c>
      <c r="B56" t="s">
        <v>129</v>
      </c>
      <c r="C56" s="2" t="s">
        <v>130</v>
      </c>
      <c r="D56" s="2" t="s">
        <v>131</v>
      </c>
      <c r="E56" t="s">
        <v>89</v>
      </c>
    </row>
    <row r="57" spans="1:5" x14ac:dyDescent="0.25">
      <c r="A57" s="5" t="s">
        <v>9</v>
      </c>
      <c r="B57" t="s">
        <v>132</v>
      </c>
      <c r="C57" s="2" t="s">
        <v>133</v>
      </c>
      <c r="D57" s="2" t="s">
        <v>134</v>
      </c>
      <c r="E57" t="s">
        <v>89</v>
      </c>
    </row>
    <row r="58" spans="1:5" x14ac:dyDescent="0.25">
      <c r="A58" s="5" t="s">
        <v>9</v>
      </c>
      <c r="B58" t="s">
        <v>135</v>
      </c>
      <c r="C58" s="2" t="s">
        <v>136</v>
      </c>
      <c r="D58" s="2" t="s">
        <v>137</v>
      </c>
      <c r="E58" t="s">
        <v>89</v>
      </c>
    </row>
    <row r="59" spans="1:5" x14ac:dyDescent="0.25">
      <c r="A59" s="5" t="s">
        <v>9</v>
      </c>
      <c r="B59" t="s">
        <v>138</v>
      </c>
      <c r="C59" s="2" t="s">
        <v>139</v>
      </c>
      <c r="D59" s="2" t="s">
        <v>140</v>
      </c>
      <c r="E59" t="s">
        <v>89</v>
      </c>
    </row>
    <row r="60" spans="1:5" x14ac:dyDescent="0.25">
      <c r="A60" s="5" t="s">
        <v>9</v>
      </c>
      <c r="B60" t="s">
        <v>141</v>
      </c>
      <c r="C60" s="2" t="s">
        <v>142</v>
      </c>
      <c r="D60" s="2" t="s">
        <v>143</v>
      </c>
      <c r="E60" t="s">
        <v>89</v>
      </c>
    </row>
    <row r="61" spans="1:5" x14ac:dyDescent="0.25">
      <c r="A61" s="5" t="s">
        <v>9</v>
      </c>
      <c r="B61" t="s">
        <v>144</v>
      </c>
      <c r="C61" s="2" t="s">
        <v>145</v>
      </c>
      <c r="D61" s="2" t="s">
        <v>146</v>
      </c>
      <c r="E61" t="s">
        <v>89</v>
      </c>
    </row>
    <row r="62" spans="1:5" x14ac:dyDescent="0.25">
      <c r="A62" s="5" t="s">
        <v>9</v>
      </c>
      <c r="B62" t="s">
        <v>147</v>
      </c>
      <c r="C62" s="2" t="s">
        <v>148</v>
      </c>
      <c r="D62" s="2" t="s">
        <v>149</v>
      </c>
      <c r="E62" t="s">
        <v>89</v>
      </c>
    </row>
    <row r="63" spans="1:5" x14ac:dyDescent="0.25">
      <c r="A63" s="5" t="s">
        <v>9</v>
      </c>
      <c r="B63" t="s">
        <v>150</v>
      </c>
      <c r="C63" s="2" t="s">
        <v>151</v>
      </c>
      <c r="D63" s="2" t="s">
        <v>152</v>
      </c>
      <c r="E63" t="s">
        <v>89</v>
      </c>
    </row>
    <row r="64" spans="1:5" x14ac:dyDescent="0.25">
      <c r="A64" s="5" t="s">
        <v>9</v>
      </c>
      <c r="B64" t="s">
        <v>153</v>
      </c>
      <c r="C64" s="2" t="s">
        <v>154</v>
      </c>
      <c r="D64" s="2" t="s">
        <v>155</v>
      </c>
      <c r="E64" t="s">
        <v>89</v>
      </c>
    </row>
    <row r="65" spans="1:5" x14ac:dyDescent="0.25">
      <c r="A65" s="5" t="s">
        <v>9</v>
      </c>
      <c r="B65" t="s">
        <v>156</v>
      </c>
      <c r="C65" s="2" t="s">
        <v>157</v>
      </c>
      <c r="D65" s="2" t="s">
        <v>158</v>
      </c>
      <c r="E65" t="s">
        <v>89</v>
      </c>
    </row>
    <row r="66" spans="1:5" x14ac:dyDescent="0.25">
      <c r="A66" s="5" t="s">
        <v>9</v>
      </c>
      <c r="B66" t="s">
        <v>159</v>
      </c>
      <c r="C66" s="2" t="s">
        <v>160</v>
      </c>
      <c r="D66" s="2" t="s">
        <v>161</v>
      </c>
      <c r="E66" t="s">
        <v>89</v>
      </c>
    </row>
    <row r="67" spans="1:5" x14ac:dyDescent="0.25">
      <c r="A67" s="5" t="s">
        <v>9</v>
      </c>
      <c r="B67" t="s">
        <v>162</v>
      </c>
      <c r="C67" s="2" t="s">
        <v>163</v>
      </c>
      <c r="D67" s="2" t="s">
        <v>164</v>
      </c>
      <c r="E67" t="s">
        <v>89</v>
      </c>
    </row>
    <row r="68" spans="1:5" x14ac:dyDescent="0.25">
      <c r="A68" s="5" t="s">
        <v>9</v>
      </c>
      <c r="B68" t="s">
        <v>165</v>
      </c>
      <c r="C68" s="2" t="s">
        <v>166</v>
      </c>
      <c r="D68" s="2" t="s">
        <v>167</v>
      </c>
      <c r="E68" t="s">
        <v>89</v>
      </c>
    </row>
    <row r="69" spans="1:5" x14ac:dyDescent="0.25">
      <c r="A69" s="5" t="s">
        <v>9</v>
      </c>
      <c r="B69" t="s">
        <v>168</v>
      </c>
      <c r="C69" s="2" t="s">
        <v>169</v>
      </c>
      <c r="D69" s="2" t="s">
        <v>170</v>
      </c>
      <c r="E69" t="s">
        <v>89</v>
      </c>
    </row>
    <row r="70" spans="1:5" x14ac:dyDescent="0.25">
      <c r="A70" s="5" t="s">
        <v>9</v>
      </c>
      <c r="B70" t="s">
        <v>171</v>
      </c>
      <c r="C70" s="2" t="s">
        <v>172</v>
      </c>
      <c r="D70" s="2" t="s">
        <v>173</v>
      </c>
      <c r="E70" t="s">
        <v>89</v>
      </c>
    </row>
    <row r="71" spans="1:5" x14ac:dyDescent="0.25">
      <c r="A71" s="5" t="s">
        <v>9</v>
      </c>
      <c r="B71" t="s">
        <v>174</v>
      </c>
      <c r="C71" s="2" t="s">
        <v>175</v>
      </c>
      <c r="D71" s="2" t="s">
        <v>176</v>
      </c>
      <c r="E71" t="s">
        <v>89</v>
      </c>
    </row>
    <row r="72" spans="1:5" x14ac:dyDescent="0.25">
      <c r="A72" s="5" t="s">
        <v>9</v>
      </c>
      <c r="B72" t="s">
        <v>177</v>
      </c>
      <c r="C72" s="2" t="s">
        <v>178</v>
      </c>
      <c r="D72" s="2" t="s">
        <v>179</v>
      </c>
      <c r="E72" t="s">
        <v>89</v>
      </c>
    </row>
    <row r="73" spans="1:5" x14ac:dyDescent="0.25">
      <c r="A73" s="5" t="s">
        <v>9</v>
      </c>
      <c r="B73" t="s">
        <v>180</v>
      </c>
      <c r="C73" s="2" t="s">
        <v>181</v>
      </c>
      <c r="D73" s="2" t="s">
        <v>182</v>
      </c>
      <c r="E73" t="s">
        <v>89</v>
      </c>
    </row>
    <row r="74" spans="1:5" x14ac:dyDescent="0.25">
      <c r="A74" s="5" t="s">
        <v>9</v>
      </c>
      <c r="B74" t="s">
        <v>183</v>
      </c>
      <c r="C74" s="2" t="s">
        <v>184</v>
      </c>
      <c r="D74" s="2" t="s">
        <v>185</v>
      </c>
      <c r="E74" t="s">
        <v>89</v>
      </c>
    </row>
    <row r="75" spans="1:5" x14ac:dyDescent="0.25">
      <c r="A75" s="5" t="s">
        <v>9</v>
      </c>
      <c r="B75" t="s">
        <v>186</v>
      </c>
      <c r="C75" s="2" t="s">
        <v>187</v>
      </c>
      <c r="D75" s="2" t="s">
        <v>188</v>
      </c>
      <c r="E75" t="s">
        <v>89</v>
      </c>
    </row>
    <row r="76" spans="1:5" x14ac:dyDescent="0.25">
      <c r="A76" s="5" t="s">
        <v>9</v>
      </c>
      <c r="B76" t="s">
        <v>189</v>
      </c>
      <c r="C76" s="2" t="s">
        <v>190</v>
      </c>
      <c r="D76" s="2" t="s">
        <v>191</v>
      </c>
      <c r="E76" t="s">
        <v>89</v>
      </c>
    </row>
    <row r="77" spans="1:5" x14ac:dyDescent="0.25">
      <c r="A77" s="5" t="s">
        <v>9</v>
      </c>
      <c r="B77" t="s">
        <v>192</v>
      </c>
      <c r="C77" s="2" t="s">
        <v>193</v>
      </c>
      <c r="D77" s="2" t="s">
        <v>194</v>
      </c>
      <c r="E77" t="s">
        <v>89</v>
      </c>
    </row>
    <row r="78" spans="1:5" x14ac:dyDescent="0.25">
      <c r="A78" s="5" t="s">
        <v>9</v>
      </c>
      <c r="B78" t="s">
        <v>195</v>
      </c>
      <c r="C78" s="2" t="s">
        <v>196</v>
      </c>
      <c r="D78" s="2" t="s">
        <v>197</v>
      </c>
      <c r="E78" t="s">
        <v>198</v>
      </c>
    </row>
    <row r="79" spans="1:5" x14ac:dyDescent="0.25">
      <c r="A79" s="5" t="s">
        <v>9</v>
      </c>
      <c r="B79" t="s">
        <v>199</v>
      </c>
      <c r="C79" s="2" t="s">
        <v>200</v>
      </c>
      <c r="D79" s="2" t="s">
        <v>201</v>
      </c>
      <c r="E79" t="s">
        <v>198</v>
      </c>
    </row>
    <row r="80" spans="1:5" x14ac:dyDescent="0.25">
      <c r="A80" s="5" t="s">
        <v>9</v>
      </c>
      <c r="B80" t="s">
        <v>202</v>
      </c>
      <c r="C80" s="2" t="s">
        <v>203</v>
      </c>
      <c r="D80" s="2" t="s">
        <v>204</v>
      </c>
      <c r="E80" t="s">
        <v>198</v>
      </c>
    </row>
    <row r="81" spans="1:5" x14ac:dyDescent="0.25">
      <c r="A81" s="5" t="s">
        <v>9</v>
      </c>
      <c r="B81" t="s">
        <v>205</v>
      </c>
      <c r="C81" s="2" t="s">
        <v>206</v>
      </c>
      <c r="D81" s="2" t="s">
        <v>207</v>
      </c>
      <c r="E81" t="s">
        <v>198</v>
      </c>
    </row>
    <row r="82" spans="1:5" x14ac:dyDescent="0.25">
      <c r="A82" s="5" t="s">
        <v>9</v>
      </c>
      <c r="B82" t="s">
        <v>208</v>
      </c>
      <c r="C82" s="2" t="s">
        <v>209</v>
      </c>
      <c r="D82" s="2" t="s">
        <v>210</v>
      </c>
      <c r="E82" t="s">
        <v>198</v>
      </c>
    </row>
    <row r="83" spans="1:5" x14ac:dyDescent="0.25">
      <c r="A83" s="5" t="s">
        <v>9</v>
      </c>
      <c r="B83" t="s">
        <v>211</v>
      </c>
      <c r="C83" s="2" t="s">
        <v>212</v>
      </c>
      <c r="D83" s="2" t="s">
        <v>213</v>
      </c>
      <c r="E83" t="s">
        <v>198</v>
      </c>
    </row>
    <row r="84" spans="1:5" x14ac:dyDescent="0.25">
      <c r="A84" s="5" t="s">
        <v>9</v>
      </c>
      <c r="B84" t="s">
        <v>214</v>
      </c>
      <c r="C84" s="2" t="s">
        <v>215</v>
      </c>
      <c r="D84" s="2" t="s">
        <v>216</v>
      </c>
      <c r="E84" t="s">
        <v>198</v>
      </c>
    </row>
    <row r="85" spans="1:5" x14ac:dyDescent="0.25">
      <c r="A85" s="5" t="s">
        <v>9</v>
      </c>
      <c r="B85" t="s">
        <v>217</v>
      </c>
      <c r="C85" s="2" t="s">
        <v>218</v>
      </c>
      <c r="D85" s="2" t="s">
        <v>219</v>
      </c>
      <c r="E85" t="s">
        <v>198</v>
      </c>
    </row>
    <row r="86" spans="1:5" x14ac:dyDescent="0.25">
      <c r="A86" s="5" t="s">
        <v>9</v>
      </c>
      <c r="B86" t="s">
        <v>220</v>
      </c>
      <c r="C86" s="2" t="s">
        <v>221</v>
      </c>
      <c r="D86" s="2" t="s">
        <v>222</v>
      </c>
      <c r="E86" t="s">
        <v>198</v>
      </c>
    </row>
    <row r="87" spans="1:5" x14ac:dyDescent="0.25">
      <c r="A87" s="5" t="s">
        <v>9</v>
      </c>
      <c r="B87" t="s">
        <v>223</v>
      </c>
      <c r="C87" s="2" t="s">
        <v>224</v>
      </c>
      <c r="D87" s="2" t="s">
        <v>225</v>
      </c>
      <c r="E87" t="s">
        <v>198</v>
      </c>
    </row>
    <row r="88" spans="1:5" x14ac:dyDescent="0.25">
      <c r="A88" s="5" t="s">
        <v>9</v>
      </c>
      <c r="B88" t="s">
        <v>226</v>
      </c>
      <c r="C88" s="2" t="s">
        <v>227</v>
      </c>
      <c r="D88" s="2" t="s">
        <v>228</v>
      </c>
      <c r="E88" t="s">
        <v>198</v>
      </c>
    </row>
    <row r="89" spans="1:5" x14ac:dyDescent="0.25">
      <c r="A89" s="5" t="s">
        <v>9</v>
      </c>
      <c r="B89" t="s">
        <v>229</v>
      </c>
      <c r="C89" s="2" t="s">
        <v>230</v>
      </c>
      <c r="D89" s="2" t="s">
        <v>231</v>
      </c>
      <c r="E89" t="s">
        <v>198</v>
      </c>
    </row>
    <row r="90" spans="1:5" x14ac:dyDescent="0.25">
      <c r="A90" s="5" t="s">
        <v>9</v>
      </c>
      <c r="B90" t="s">
        <v>232</v>
      </c>
      <c r="C90" s="2" t="s">
        <v>233</v>
      </c>
      <c r="D90" s="2" t="s">
        <v>234</v>
      </c>
      <c r="E90" t="s">
        <v>198</v>
      </c>
    </row>
    <row r="91" spans="1:5" x14ac:dyDescent="0.25">
      <c r="A91" s="5" t="s">
        <v>9</v>
      </c>
      <c r="B91" t="s">
        <v>235</v>
      </c>
      <c r="C91" s="2" t="s">
        <v>236</v>
      </c>
      <c r="D91" s="2" t="s">
        <v>237</v>
      </c>
      <c r="E91" t="s">
        <v>198</v>
      </c>
    </row>
    <row r="92" spans="1:5" x14ac:dyDescent="0.25">
      <c r="A92" s="5" t="s">
        <v>9</v>
      </c>
      <c r="B92" t="s">
        <v>238</v>
      </c>
      <c r="C92" s="2" t="s">
        <v>239</v>
      </c>
      <c r="D92" s="2" t="s">
        <v>240</v>
      </c>
      <c r="E92" t="s">
        <v>198</v>
      </c>
    </row>
    <row r="93" spans="1:5" x14ac:dyDescent="0.25">
      <c r="A93" s="5" t="s">
        <v>9</v>
      </c>
      <c r="B93" t="s">
        <v>241</v>
      </c>
      <c r="C93" s="2" t="s">
        <v>242</v>
      </c>
      <c r="D93" s="2" t="s">
        <v>243</v>
      </c>
      <c r="E93" t="s">
        <v>198</v>
      </c>
    </row>
    <row r="94" spans="1:5" x14ac:dyDescent="0.25">
      <c r="A94" s="5" t="s">
        <v>9</v>
      </c>
      <c r="B94" t="s">
        <v>244</v>
      </c>
      <c r="C94" s="2" t="s">
        <v>245</v>
      </c>
      <c r="D94" s="2" t="s">
        <v>246</v>
      </c>
      <c r="E94" t="s">
        <v>198</v>
      </c>
    </row>
    <row r="95" spans="1:5" x14ac:dyDescent="0.25">
      <c r="A95" s="5" t="s">
        <v>9</v>
      </c>
      <c r="B95" t="s">
        <v>247</v>
      </c>
      <c r="C95" s="2" t="s">
        <v>248</v>
      </c>
      <c r="D95" s="2" t="s">
        <v>249</v>
      </c>
      <c r="E95" t="s">
        <v>198</v>
      </c>
    </row>
    <row r="96" spans="1:5" x14ac:dyDescent="0.25">
      <c r="A96" s="5" t="s">
        <v>9</v>
      </c>
      <c r="B96" t="s">
        <v>250</v>
      </c>
      <c r="C96" s="2" t="s">
        <v>251</v>
      </c>
      <c r="D96" s="2" t="s">
        <v>252</v>
      </c>
      <c r="E96" t="s">
        <v>198</v>
      </c>
    </row>
    <row r="97" spans="1:5" x14ac:dyDescent="0.25">
      <c r="A97" s="5" t="s">
        <v>9</v>
      </c>
      <c r="B97" t="s">
        <v>253</v>
      </c>
      <c r="C97" s="2" t="s">
        <v>254</v>
      </c>
      <c r="D97" s="2" t="s">
        <v>255</v>
      </c>
      <c r="E97" t="s">
        <v>198</v>
      </c>
    </row>
    <row r="98" spans="1:5" x14ac:dyDescent="0.25">
      <c r="A98" s="5" t="s">
        <v>9</v>
      </c>
      <c r="B98" t="s">
        <v>256</v>
      </c>
      <c r="C98" s="2" t="s">
        <v>257</v>
      </c>
      <c r="D98" s="2" t="s">
        <v>258</v>
      </c>
      <c r="E98" t="s">
        <v>198</v>
      </c>
    </row>
    <row r="99" spans="1:5" x14ac:dyDescent="0.25">
      <c r="A99" s="5" t="s">
        <v>9</v>
      </c>
      <c r="B99" t="s">
        <v>259</v>
      </c>
      <c r="C99" s="2" t="s">
        <v>260</v>
      </c>
      <c r="D99" s="2" t="s">
        <v>261</v>
      </c>
      <c r="E99" t="s">
        <v>198</v>
      </c>
    </row>
    <row r="100" spans="1:5" x14ac:dyDescent="0.25">
      <c r="A100" s="5" t="s">
        <v>9</v>
      </c>
      <c r="B100" t="s">
        <v>262</v>
      </c>
      <c r="C100" s="2" t="s">
        <v>263</v>
      </c>
      <c r="D100" s="2" t="s">
        <v>264</v>
      </c>
      <c r="E100" t="s">
        <v>198</v>
      </c>
    </row>
    <row r="101" spans="1:5" x14ac:dyDescent="0.25">
      <c r="A101" s="5" t="s">
        <v>9</v>
      </c>
      <c r="B101" t="s">
        <v>265</v>
      </c>
      <c r="C101" s="2" t="s">
        <v>266</v>
      </c>
      <c r="D101" s="2" t="s">
        <v>267</v>
      </c>
      <c r="E101" t="s">
        <v>198</v>
      </c>
    </row>
    <row r="102" spans="1:5" x14ac:dyDescent="0.25">
      <c r="A102" s="5" t="s">
        <v>9</v>
      </c>
      <c r="B102" t="s">
        <v>268</v>
      </c>
      <c r="C102" s="2" t="s">
        <v>269</v>
      </c>
      <c r="D102" s="2" t="s">
        <v>270</v>
      </c>
      <c r="E102" t="s">
        <v>198</v>
      </c>
    </row>
    <row r="103" spans="1:5" x14ac:dyDescent="0.25">
      <c r="A103" s="5" t="s">
        <v>9</v>
      </c>
      <c r="B103" t="s">
        <v>271</v>
      </c>
      <c r="C103" s="2" t="s">
        <v>272</v>
      </c>
      <c r="D103" s="2" t="s">
        <v>273</v>
      </c>
      <c r="E103" t="s">
        <v>198</v>
      </c>
    </row>
    <row r="104" spans="1:5" x14ac:dyDescent="0.25">
      <c r="A104" s="5" t="s">
        <v>9</v>
      </c>
      <c r="B104" t="s">
        <v>274</v>
      </c>
      <c r="C104" s="2" t="s">
        <v>275</v>
      </c>
      <c r="D104" s="2" t="s">
        <v>276</v>
      </c>
      <c r="E104" t="s">
        <v>198</v>
      </c>
    </row>
    <row r="105" spans="1:5" x14ac:dyDescent="0.25">
      <c r="A105" s="5" t="s">
        <v>9</v>
      </c>
      <c r="B105" t="s">
        <v>277</v>
      </c>
      <c r="C105" s="2" t="s">
        <v>278</v>
      </c>
      <c r="D105" s="2" t="s">
        <v>279</v>
      </c>
      <c r="E105" t="s">
        <v>198</v>
      </c>
    </row>
    <row r="106" spans="1:5" x14ac:dyDescent="0.25">
      <c r="A106" s="5" t="s">
        <v>9</v>
      </c>
      <c r="B106" t="s">
        <v>280</v>
      </c>
      <c r="C106" s="2" t="s">
        <v>281</v>
      </c>
      <c r="D106" s="2" t="s">
        <v>282</v>
      </c>
      <c r="E106" t="s">
        <v>198</v>
      </c>
    </row>
    <row r="107" spans="1:5" x14ac:dyDescent="0.25">
      <c r="A107" s="5" t="s">
        <v>9</v>
      </c>
      <c r="B107" t="s">
        <v>283</v>
      </c>
      <c r="C107" s="2" t="s">
        <v>284</v>
      </c>
      <c r="D107" s="2" t="s">
        <v>285</v>
      </c>
      <c r="E107" t="s">
        <v>198</v>
      </c>
    </row>
    <row r="108" spans="1:5" x14ac:dyDescent="0.25">
      <c r="A108" s="5" t="s">
        <v>9</v>
      </c>
      <c r="B108" t="s">
        <v>286</v>
      </c>
      <c r="C108" s="2" t="s">
        <v>287</v>
      </c>
      <c r="D108" s="2" t="s">
        <v>288</v>
      </c>
      <c r="E108" t="s">
        <v>198</v>
      </c>
    </row>
    <row r="109" spans="1:5" x14ac:dyDescent="0.25">
      <c r="A109" s="5" t="s">
        <v>9</v>
      </c>
      <c r="B109" t="s">
        <v>289</v>
      </c>
      <c r="C109" s="2" t="s">
        <v>290</v>
      </c>
      <c r="D109" s="2" t="s">
        <v>291</v>
      </c>
      <c r="E109" t="s">
        <v>198</v>
      </c>
    </row>
    <row r="110" spans="1:5" x14ac:dyDescent="0.25">
      <c r="A110" s="5" t="s">
        <v>9</v>
      </c>
      <c r="B110" t="s">
        <v>292</v>
      </c>
      <c r="C110" s="2" t="s">
        <v>293</v>
      </c>
      <c r="D110" s="2" t="s">
        <v>294</v>
      </c>
      <c r="E110" t="s">
        <v>198</v>
      </c>
    </row>
    <row r="111" spans="1:5" x14ac:dyDescent="0.25">
      <c r="A111" s="5" t="s">
        <v>9</v>
      </c>
      <c r="B111" t="s">
        <v>295</v>
      </c>
      <c r="C111" s="2" t="s">
        <v>296</v>
      </c>
      <c r="D111" s="2" t="s">
        <v>297</v>
      </c>
      <c r="E111" t="s">
        <v>198</v>
      </c>
    </row>
    <row r="112" spans="1:5" x14ac:dyDescent="0.25">
      <c r="A112" s="6" t="s">
        <v>298</v>
      </c>
      <c r="B112" t="s">
        <v>6</v>
      </c>
      <c r="C112" s="2" t="s">
        <v>299</v>
      </c>
      <c r="D112" s="2" t="s">
        <v>8</v>
      </c>
      <c r="E112" t="s">
        <v>8</v>
      </c>
    </row>
    <row r="113" spans="1:5" x14ac:dyDescent="0.25">
      <c r="A113" s="5" t="s">
        <v>9</v>
      </c>
      <c r="B113" t="s">
        <v>10</v>
      </c>
      <c r="C113" s="2" t="s">
        <v>11</v>
      </c>
      <c r="D113" s="2" t="s">
        <v>8</v>
      </c>
      <c r="E113" t="s">
        <v>8</v>
      </c>
    </row>
    <row r="114" spans="1:5" ht="30" x14ac:dyDescent="0.25">
      <c r="A114" s="5" t="s">
        <v>9</v>
      </c>
      <c r="B114" t="s">
        <v>12</v>
      </c>
      <c r="C114" s="2" t="s">
        <v>13</v>
      </c>
      <c r="D114" s="2" t="s">
        <v>8</v>
      </c>
      <c r="E114" t="s">
        <v>8</v>
      </c>
    </row>
    <row r="115" spans="1:5" x14ac:dyDescent="0.25">
      <c r="A115" s="5" t="s">
        <v>9</v>
      </c>
      <c r="B115" t="s">
        <v>300</v>
      </c>
      <c r="C115" s="2" t="s">
        <v>301</v>
      </c>
      <c r="D115" s="2" t="s">
        <v>8</v>
      </c>
      <c r="E115" t="s">
        <v>8</v>
      </c>
    </row>
    <row r="116" spans="1:5" x14ac:dyDescent="0.25">
      <c r="A116" s="5" t="s">
        <v>9</v>
      </c>
      <c r="B116" t="s">
        <v>302</v>
      </c>
      <c r="C116" s="2" t="s">
        <v>303</v>
      </c>
      <c r="D116" s="2" t="s">
        <v>8</v>
      </c>
      <c r="E116" t="s">
        <v>8</v>
      </c>
    </row>
    <row r="117" spans="1:5" x14ac:dyDescent="0.25">
      <c r="A117" s="5" t="s">
        <v>9</v>
      </c>
      <c r="B117" t="s">
        <v>304</v>
      </c>
      <c r="C117" s="2" t="s">
        <v>305</v>
      </c>
      <c r="D117" s="2" t="s">
        <v>8</v>
      </c>
      <c r="E117" t="s">
        <v>8</v>
      </c>
    </row>
    <row r="118" spans="1:5" x14ac:dyDescent="0.25">
      <c r="A118" s="5" t="s">
        <v>9</v>
      </c>
      <c r="B118" t="s">
        <v>306</v>
      </c>
      <c r="C118" s="2" t="s">
        <v>307</v>
      </c>
      <c r="D118" s="2" t="s">
        <v>8</v>
      </c>
      <c r="E118" t="s">
        <v>8</v>
      </c>
    </row>
    <row r="119" spans="1:5" x14ac:dyDescent="0.25">
      <c r="A119" s="5" t="s">
        <v>9</v>
      </c>
      <c r="B119" t="s">
        <v>308</v>
      </c>
      <c r="C119" s="2" t="s">
        <v>309</v>
      </c>
      <c r="D119" s="2" t="s">
        <v>8</v>
      </c>
      <c r="E119" t="s">
        <v>8</v>
      </c>
    </row>
    <row r="120" spans="1:5" x14ac:dyDescent="0.25">
      <c r="A120" s="5" t="s">
        <v>9</v>
      </c>
      <c r="B120" t="s">
        <v>310</v>
      </c>
      <c r="C120" s="2" t="s">
        <v>311</v>
      </c>
      <c r="D120" s="2" t="s">
        <v>8</v>
      </c>
      <c r="E120" t="s">
        <v>8</v>
      </c>
    </row>
    <row r="121" spans="1:5" x14ac:dyDescent="0.25">
      <c r="A121" s="5" t="s">
        <v>9</v>
      </c>
      <c r="B121" t="s">
        <v>312</v>
      </c>
      <c r="C121" s="2" t="s">
        <v>313</v>
      </c>
      <c r="D121" s="2" t="s">
        <v>8</v>
      </c>
      <c r="E121" t="s">
        <v>8</v>
      </c>
    </row>
    <row r="122" spans="1:5" ht="45" x14ac:dyDescent="0.25">
      <c r="A122" s="5" t="s">
        <v>9</v>
      </c>
      <c r="B122" t="s">
        <v>314</v>
      </c>
      <c r="C122" s="2" t="s">
        <v>315</v>
      </c>
      <c r="D122" s="2" t="s">
        <v>8</v>
      </c>
      <c r="E122" t="s">
        <v>8</v>
      </c>
    </row>
    <row r="123" spans="1:5" x14ac:dyDescent="0.25">
      <c r="A123" s="5" t="s">
        <v>9</v>
      </c>
      <c r="B123" t="s">
        <v>316</v>
      </c>
      <c r="C123" s="2" t="s">
        <v>317</v>
      </c>
      <c r="D123" s="2" t="s">
        <v>8</v>
      </c>
      <c r="E123" t="s">
        <v>8</v>
      </c>
    </row>
    <row r="124" spans="1:5" ht="45" x14ac:dyDescent="0.25">
      <c r="A124" s="5" t="s">
        <v>9</v>
      </c>
      <c r="B124" t="s">
        <v>318</v>
      </c>
      <c r="C124" s="2" t="s">
        <v>319</v>
      </c>
      <c r="D124" s="2" t="s">
        <v>8</v>
      </c>
      <c r="E124" t="s">
        <v>8</v>
      </c>
    </row>
  </sheetData>
  <mergeCells count="4">
    <mergeCell ref="A2:A23"/>
    <mergeCell ref="A24:A38"/>
    <mergeCell ref="A39:A111"/>
    <mergeCell ref="A112:A124"/>
  </mergeCell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2"/>
  <sheetViews>
    <sheetView workbookViewId="0"/>
  </sheetViews>
  <sheetFormatPr defaultColWidth="11.42578125" defaultRowHeight="15" x14ac:dyDescent="0.25"/>
  <cols>
    <col min="2" max="2" width="18.7109375" customWidth="1"/>
    <col min="3" max="3" width="12.7109375" customWidth="1"/>
    <col min="4" max="4" width="7.7109375" customWidth="1"/>
    <col min="5" max="5" width="21.7109375" customWidth="1"/>
    <col min="6" max="6" width="13.7109375" customWidth="1"/>
    <col min="7" max="7" width="14.7109375" customWidth="1"/>
    <col min="8" max="8" width="17.7109375" customWidth="1"/>
    <col min="9" max="9" width="18.7109375" customWidth="1"/>
    <col min="10" max="10" width="15.7109375" customWidth="1"/>
    <col min="11" max="11" width="12.7109375" customWidth="1"/>
    <col min="12" max="12" width="8.7109375" customWidth="1"/>
    <col min="13" max="13" width="11.7109375" customWidth="1"/>
    <col min="14" max="14" width="12.7109375" customWidth="1"/>
    <col min="15" max="15" width="26.7109375" customWidth="1"/>
    <col min="16" max="16" width="9.7109375" customWidth="1"/>
    <col min="17" max="17" width="8.7109375" customWidth="1"/>
    <col min="18" max="18" width="11.7109375" customWidth="1"/>
    <col min="19" max="19" width="9.7109375" customWidth="1"/>
    <col min="20" max="20" width="11.7109375" customWidth="1"/>
    <col min="21" max="21" width="13.7109375" customWidth="1"/>
    <col min="22" max="22" width="15.7109375" customWidth="1"/>
  </cols>
  <sheetData>
    <row r="1" spans="1:22" x14ac:dyDescent="0.25">
      <c r="A1" t="s">
        <v>6</v>
      </c>
      <c r="B1" t="s">
        <v>10</v>
      </c>
      <c r="C1" t="s">
        <v>12</v>
      </c>
      <c r="D1" t="s">
        <v>14</v>
      </c>
      <c r="E1" t="s">
        <v>16</v>
      </c>
      <c r="F1" t="s">
        <v>18</v>
      </c>
      <c r="G1" t="s">
        <v>20</v>
      </c>
      <c r="H1" t="s">
        <v>22</v>
      </c>
      <c r="I1" t="s">
        <v>24</v>
      </c>
      <c r="J1" t="s">
        <v>26</v>
      </c>
      <c r="K1" t="s">
        <v>28</v>
      </c>
      <c r="L1" t="s">
        <v>30</v>
      </c>
      <c r="M1" t="s">
        <v>32</v>
      </c>
      <c r="N1" t="s">
        <v>34</v>
      </c>
      <c r="O1" t="s">
        <v>36</v>
      </c>
      <c r="P1" t="s">
        <v>38</v>
      </c>
      <c r="Q1" t="s">
        <v>40</v>
      </c>
      <c r="R1" t="s">
        <v>43</v>
      </c>
      <c r="S1" t="s">
        <v>45</v>
      </c>
      <c r="T1" t="s">
        <v>47</v>
      </c>
      <c r="U1" t="s">
        <v>49</v>
      </c>
      <c r="V1" t="s">
        <v>51</v>
      </c>
    </row>
    <row r="2" spans="1:22" x14ac:dyDescent="0.25">
      <c r="A2">
        <v>215065</v>
      </c>
      <c r="B2" t="s">
        <v>342</v>
      </c>
      <c r="C2" t="s">
        <v>343</v>
      </c>
      <c r="D2" t="s">
        <v>344</v>
      </c>
      <c r="E2" t="s">
        <v>345</v>
      </c>
      <c r="F2">
        <v>38.955139000000003</v>
      </c>
      <c r="G2">
        <v>-105.389528</v>
      </c>
      <c r="H2">
        <v>38.955139000000003</v>
      </c>
      <c r="I2">
        <v>-105.389528</v>
      </c>
      <c r="J2" t="s">
        <v>346</v>
      </c>
      <c r="K2" t="s">
        <v>347</v>
      </c>
      <c r="L2" t="s">
        <v>348</v>
      </c>
      <c r="M2" t="s">
        <v>349</v>
      </c>
      <c r="N2" t="s">
        <v>350</v>
      </c>
      <c r="O2" t="s">
        <v>351</v>
      </c>
      <c r="P2" t="s">
        <v>8</v>
      </c>
      <c r="Q2">
        <v>0.27907500000000002</v>
      </c>
      <c r="R2">
        <v>100</v>
      </c>
      <c r="S2">
        <v>44.445</v>
      </c>
      <c r="T2">
        <v>650</v>
      </c>
      <c r="U2" s="3">
        <v>45287</v>
      </c>
      <c r="V2" s="3">
        <v>45294</v>
      </c>
    </row>
    <row r="3" spans="1:22" x14ac:dyDescent="0.25">
      <c r="A3">
        <v>215066</v>
      </c>
      <c r="B3" t="s">
        <v>352</v>
      </c>
      <c r="C3" t="s">
        <v>343</v>
      </c>
      <c r="D3" t="s">
        <v>344</v>
      </c>
      <c r="E3" t="s">
        <v>345</v>
      </c>
      <c r="F3">
        <v>38.956055999999997</v>
      </c>
      <c r="G3">
        <v>-105.38980599999999</v>
      </c>
      <c r="H3">
        <v>38.956055999999997</v>
      </c>
      <c r="I3">
        <v>-105.38980599999999</v>
      </c>
      <c r="J3" t="s">
        <v>353</v>
      </c>
      <c r="K3" t="s">
        <v>347</v>
      </c>
      <c r="L3" t="s">
        <v>348</v>
      </c>
      <c r="M3" t="s">
        <v>349</v>
      </c>
      <c r="N3" t="s">
        <v>350</v>
      </c>
      <c r="O3" t="s">
        <v>354</v>
      </c>
      <c r="P3" t="s">
        <v>8</v>
      </c>
      <c r="Q3">
        <v>0.37209999999999999</v>
      </c>
      <c r="R3">
        <v>100</v>
      </c>
      <c r="S3">
        <v>33.33</v>
      </c>
      <c r="T3">
        <v>798</v>
      </c>
      <c r="U3" s="3">
        <v>45287</v>
      </c>
      <c r="V3" s="3">
        <v>45293</v>
      </c>
    </row>
    <row r="4" spans="1:22" x14ac:dyDescent="0.25">
      <c r="A4">
        <v>215067</v>
      </c>
      <c r="B4" t="s">
        <v>355</v>
      </c>
      <c r="C4" t="s">
        <v>343</v>
      </c>
      <c r="D4" t="s">
        <v>356</v>
      </c>
      <c r="E4" t="s">
        <v>345</v>
      </c>
      <c r="F4">
        <v>38.958055999999999</v>
      </c>
      <c r="G4">
        <v>-105.3895</v>
      </c>
      <c r="H4">
        <v>38.958055999999999</v>
      </c>
      <c r="I4">
        <v>-105.3895</v>
      </c>
      <c r="J4" t="s">
        <v>346</v>
      </c>
      <c r="K4" t="s">
        <v>347</v>
      </c>
      <c r="L4" t="s">
        <v>357</v>
      </c>
      <c r="M4" t="s">
        <v>349</v>
      </c>
      <c r="N4" t="s">
        <v>350</v>
      </c>
      <c r="O4" t="s">
        <v>351</v>
      </c>
      <c r="P4" t="s">
        <v>8</v>
      </c>
      <c r="Q4">
        <v>0.27907500000000002</v>
      </c>
      <c r="R4">
        <v>100</v>
      </c>
      <c r="S4">
        <v>100</v>
      </c>
      <c r="T4">
        <v>597</v>
      </c>
      <c r="U4" s="3">
        <v>45287</v>
      </c>
      <c r="V4" s="3">
        <v>45293</v>
      </c>
    </row>
    <row r="5" spans="1:22" x14ac:dyDescent="0.25">
      <c r="A5">
        <v>215068</v>
      </c>
      <c r="B5" t="s">
        <v>358</v>
      </c>
      <c r="C5" t="s">
        <v>343</v>
      </c>
      <c r="D5" t="s">
        <v>359</v>
      </c>
      <c r="E5" t="s">
        <v>345</v>
      </c>
      <c r="F5">
        <v>38.9645883860982</v>
      </c>
      <c r="G5">
        <v>-105.373450282471</v>
      </c>
      <c r="H5">
        <v>38.968000000000004</v>
      </c>
      <c r="I5">
        <v>-105.45230599999999</v>
      </c>
      <c r="J5" t="s">
        <v>346</v>
      </c>
      <c r="K5" t="s">
        <v>347</v>
      </c>
      <c r="L5" t="s">
        <v>357</v>
      </c>
      <c r="M5" t="s">
        <v>349</v>
      </c>
      <c r="N5" t="s">
        <v>350</v>
      </c>
      <c r="O5" t="s">
        <v>351</v>
      </c>
      <c r="P5" t="s">
        <v>8</v>
      </c>
      <c r="Q5">
        <v>0.27907500000000002</v>
      </c>
      <c r="R5">
        <v>100</v>
      </c>
      <c r="S5">
        <v>100</v>
      </c>
      <c r="T5">
        <v>662</v>
      </c>
      <c r="U5" s="3">
        <v>45287</v>
      </c>
      <c r="V5" s="3">
        <v>45293</v>
      </c>
    </row>
    <row r="6" spans="1:22" x14ac:dyDescent="0.25">
      <c r="A6">
        <v>215069</v>
      </c>
      <c r="B6" t="s">
        <v>360</v>
      </c>
      <c r="C6" t="s">
        <v>343</v>
      </c>
      <c r="D6" t="s">
        <v>361</v>
      </c>
      <c r="E6" t="s">
        <v>345</v>
      </c>
      <c r="F6">
        <v>38.967889</v>
      </c>
      <c r="G6">
        <v>-105.368639</v>
      </c>
      <c r="H6">
        <v>38.967889</v>
      </c>
      <c r="I6">
        <v>-105.368639</v>
      </c>
      <c r="J6" t="s">
        <v>346</v>
      </c>
      <c r="K6" t="s">
        <v>347</v>
      </c>
      <c r="L6" t="s">
        <v>362</v>
      </c>
      <c r="M6" t="s">
        <v>349</v>
      </c>
      <c r="N6" t="s">
        <v>350</v>
      </c>
      <c r="O6" t="s">
        <v>354</v>
      </c>
      <c r="P6" t="s">
        <v>8</v>
      </c>
      <c r="Q6">
        <v>0.37209999999999999</v>
      </c>
      <c r="R6">
        <v>100</v>
      </c>
      <c r="S6">
        <v>44.44</v>
      </c>
      <c r="T6">
        <v>1048</v>
      </c>
      <c r="U6" s="3">
        <v>45287</v>
      </c>
      <c r="V6" s="3">
        <v>45294</v>
      </c>
    </row>
    <row r="7" spans="1:22" x14ac:dyDescent="0.25">
      <c r="A7">
        <v>215070</v>
      </c>
      <c r="B7" t="s">
        <v>363</v>
      </c>
      <c r="C7" t="s">
        <v>343</v>
      </c>
      <c r="D7" t="s">
        <v>361</v>
      </c>
      <c r="E7" t="s">
        <v>345</v>
      </c>
      <c r="F7">
        <v>38.968693999999999</v>
      </c>
      <c r="G7">
        <v>-105.366361</v>
      </c>
      <c r="H7">
        <v>38.968693999999999</v>
      </c>
      <c r="I7">
        <v>-105.366361</v>
      </c>
      <c r="J7" t="s">
        <v>346</v>
      </c>
      <c r="K7" t="s">
        <v>347</v>
      </c>
      <c r="L7" t="s">
        <v>357</v>
      </c>
      <c r="M7" t="s">
        <v>349</v>
      </c>
      <c r="N7" t="s">
        <v>350</v>
      </c>
      <c r="O7" t="s">
        <v>351</v>
      </c>
      <c r="P7" t="s">
        <v>8</v>
      </c>
      <c r="Q7">
        <v>0.27907500000000002</v>
      </c>
      <c r="R7">
        <v>100</v>
      </c>
      <c r="S7">
        <v>100</v>
      </c>
      <c r="T7">
        <v>147</v>
      </c>
      <c r="U7" s="3">
        <v>45287</v>
      </c>
      <c r="V7" s="3">
        <v>45294</v>
      </c>
    </row>
    <row r="8" spans="1:22" x14ac:dyDescent="0.25">
      <c r="A8">
        <v>215071</v>
      </c>
      <c r="B8" t="s">
        <v>364</v>
      </c>
      <c r="C8" t="s">
        <v>343</v>
      </c>
      <c r="D8" t="s">
        <v>361</v>
      </c>
      <c r="E8" t="s">
        <v>345</v>
      </c>
      <c r="F8">
        <v>38.968055999999997</v>
      </c>
      <c r="G8">
        <v>-105.36627799999999</v>
      </c>
      <c r="H8">
        <v>38.968055999999997</v>
      </c>
      <c r="I8">
        <v>-105.36627799999999</v>
      </c>
      <c r="J8" t="s">
        <v>346</v>
      </c>
      <c r="K8" t="s">
        <v>347</v>
      </c>
      <c r="L8" t="s">
        <v>357</v>
      </c>
      <c r="M8" t="s">
        <v>349</v>
      </c>
      <c r="N8" t="s">
        <v>350</v>
      </c>
      <c r="O8" t="s">
        <v>351</v>
      </c>
      <c r="P8" t="s">
        <v>8</v>
      </c>
      <c r="Q8">
        <v>0.27907500000000002</v>
      </c>
      <c r="R8">
        <v>100</v>
      </c>
      <c r="S8">
        <v>100</v>
      </c>
      <c r="T8">
        <v>64</v>
      </c>
      <c r="U8" s="3">
        <v>45287</v>
      </c>
      <c r="V8" s="3">
        <v>45294</v>
      </c>
    </row>
    <row r="9" spans="1:22" x14ac:dyDescent="0.25">
      <c r="A9">
        <v>215072</v>
      </c>
      <c r="B9" t="s">
        <v>365</v>
      </c>
      <c r="C9" t="s">
        <v>343</v>
      </c>
      <c r="D9" t="s">
        <v>361</v>
      </c>
      <c r="E9" t="s">
        <v>345</v>
      </c>
      <c r="F9">
        <v>38.968693999999999</v>
      </c>
      <c r="G9">
        <v>-105.366361</v>
      </c>
      <c r="H9">
        <v>38.968693999999999</v>
      </c>
      <c r="I9">
        <v>-105.366361</v>
      </c>
      <c r="J9" t="s">
        <v>346</v>
      </c>
      <c r="K9" t="s">
        <v>347</v>
      </c>
      <c r="L9" t="s">
        <v>357</v>
      </c>
      <c r="M9" t="s">
        <v>349</v>
      </c>
      <c r="N9" t="s">
        <v>350</v>
      </c>
      <c r="O9" t="s">
        <v>351</v>
      </c>
      <c r="P9" t="s">
        <v>8</v>
      </c>
      <c r="Q9">
        <v>0.27907500000000002</v>
      </c>
      <c r="R9">
        <v>100</v>
      </c>
      <c r="S9">
        <v>100</v>
      </c>
      <c r="T9">
        <v>302</v>
      </c>
      <c r="U9" s="3">
        <v>45287</v>
      </c>
      <c r="V9" s="3">
        <v>45301</v>
      </c>
    </row>
    <row r="10" spans="1:22" x14ac:dyDescent="0.25">
      <c r="A10">
        <v>215073</v>
      </c>
      <c r="B10" t="s">
        <v>366</v>
      </c>
      <c r="C10" t="s">
        <v>343</v>
      </c>
      <c r="D10" t="s">
        <v>361</v>
      </c>
      <c r="E10" t="s">
        <v>345</v>
      </c>
      <c r="F10">
        <v>38.968111</v>
      </c>
      <c r="G10">
        <v>-105.366389</v>
      </c>
      <c r="H10">
        <v>38.968111</v>
      </c>
      <c r="I10">
        <v>-105.366389</v>
      </c>
      <c r="J10" t="s">
        <v>346</v>
      </c>
      <c r="K10" t="s">
        <v>347</v>
      </c>
      <c r="L10" t="s">
        <v>357</v>
      </c>
      <c r="M10" t="s">
        <v>349</v>
      </c>
      <c r="N10" t="s">
        <v>350</v>
      </c>
      <c r="O10" t="s">
        <v>351</v>
      </c>
      <c r="P10" t="s">
        <v>8</v>
      </c>
      <c r="Q10">
        <v>0.27907500000000002</v>
      </c>
      <c r="R10">
        <v>100</v>
      </c>
      <c r="S10">
        <v>100</v>
      </c>
      <c r="T10">
        <v>199</v>
      </c>
      <c r="U10" s="3">
        <v>45287</v>
      </c>
      <c r="V10" s="3">
        <v>45293</v>
      </c>
    </row>
    <row r="11" spans="1:22" x14ac:dyDescent="0.25">
      <c r="A11">
        <v>215074</v>
      </c>
      <c r="B11" t="s">
        <v>352</v>
      </c>
      <c r="C11" t="s">
        <v>367</v>
      </c>
      <c r="D11" t="s">
        <v>344</v>
      </c>
      <c r="E11" t="s">
        <v>345</v>
      </c>
      <c r="F11">
        <v>38.956055999999997</v>
      </c>
      <c r="G11">
        <v>-105.38980599999999</v>
      </c>
      <c r="H11">
        <v>38.956055999999997</v>
      </c>
      <c r="I11">
        <v>-105.38980599999999</v>
      </c>
      <c r="J11" t="s">
        <v>368</v>
      </c>
      <c r="K11" t="s">
        <v>347</v>
      </c>
      <c r="L11" t="s">
        <v>348</v>
      </c>
      <c r="M11" t="s">
        <v>349</v>
      </c>
      <c r="N11" t="s">
        <v>350</v>
      </c>
      <c r="O11" t="s">
        <v>354</v>
      </c>
      <c r="P11" t="s">
        <v>8</v>
      </c>
      <c r="Q11">
        <v>0.37209999999999999</v>
      </c>
      <c r="R11">
        <v>100</v>
      </c>
      <c r="S11">
        <v>13.276</v>
      </c>
      <c r="T11">
        <v>689</v>
      </c>
      <c r="U11" s="3">
        <v>45287</v>
      </c>
      <c r="V11" s="3">
        <v>45301</v>
      </c>
    </row>
    <row r="12" spans="1:22" x14ac:dyDescent="0.25">
      <c r="A12">
        <v>215075</v>
      </c>
      <c r="B12" t="s">
        <v>360</v>
      </c>
      <c r="C12" t="s">
        <v>367</v>
      </c>
      <c r="D12" t="s">
        <v>361</v>
      </c>
      <c r="E12" t="s">
        <v>345</v>
      </c>
      <c r="F12">
        <v>38.967889</v>
      </c>
      <c r="G12">
        <v>-105.368639</v>
      </c>
      <c r="H12">
        <v>38.967889</v>
      </c>
      <c r="I12">
        <v>-105.368639</v>
      </c>
      <c r="J12" t="s">
        <v>368</v>
      </c>
      <c r="K12" t="s">
        <v>347</v>
      </c>
      <c r="L12" t="s">
        <v>362</v>
      </c>
      <c r="M12" t="s">
        <v>349</v>
      </c>
      <c r="N12" t="s">
        <v>350</v>
      </c>
      <c r="O12" t="s">
        <v>351</v>
      </c>
      <c r="P12" t="s">
        <v>8</v>
      </c>
      <c r="Q12">
        <v>0.27907500000000002</v>
      </c>
      <c r="R12">
        <v>100</v>
      </c>
      <c r="S12">
        <v>100</v>
      </c>
      <c r="T12">
        <v>53</v>
      </c>
      <c r="U12" s="3">
        <v>45287</v>
      </c>
      <c r="V12" s="3">
        <v>45294</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2"/>
  <sheetViews>
    <sheetView tabSelected="1" workbookViewId="0">
      <selection activeCell="H12" sqref="H12"/>
    </sheetView>
  </sheetViews>
  <sheetFormatPr defaultColWidth="11.42578125" defaultRowHeight="15" x14ac:dyDescent="0.25"/>
  <cols>
    <col min="2" max="2" width="18.7109375" customWidth="1"/>
    <col min="3" max="3" width="12.7109375" customWidth="1"/>
    <col min="4" max="4" width="68.7109375" customWidth="1"/>
    <col min="5" max="5" width="10.7109375" customWidth="1"/>
    <col min="6" max="7" width="11.7109375" customWidth="1"/>
    <col min="8" max="8" width="15.7109375" customWidth="1"/>
    <col min="9" max="9" width="16.7109375" customWidth="1"/>
    <col min="10" max="10" width="11.7109375" customWidth="1"/>
    <col min="11" max="11" width="12.7109375" customWidth="1"/>
    <col min="12" max="12" width="11.7109375" customWidth="1"/>
    <col min="13" max="13" width="10.7109375" customWidth="1"/>
    <col min="14" max="14" width="13.7109375" customWidth="1"/>
    <col min="15" max="15" width="13" customWidth="1"/>
  </cols>
  <sheetData>
    <row r="1" spans="1:13" x14ac:dyDescent="0.25">
      <c r="A1" t="s">
        <v>6</v>
      </c>
      <c r="B1" t="s">
        <v>554</v>
      </c>
      <c r="C1" t="s">
        <v>12</v>
      </c>
      <c r="D1" t="s">
        <v>54</v>
      </c>
      <c r="E1" t="s">
        <v>56</v>
      </c>
      <c r="F1" t="s">
        <v>58</v>
      </c>
      <c r="G1" t="s">
        <v>555</v>
      </c>
      <c r="H1" t="s">
        <v>70</v>
      </c>
      <c r="I1" t="s">
        <v>73</v>
      </c>
      <c r="J1" t="s">
        <v>76</v>
      </c>
      <c r="K1" t="s">
        <v>79</v>
      </c>
      <c r="L1" t="s">
        <v>81</v>
      </c>
      <c r="M1" t="s">
        <v>83</v>
      </c>
    </row>
    <row r="2" spans="1:13" x14ac:dyDescent="0.25">
      <c r="A2">
        <v>215065</v>
      </c>
      <c r="B2" t="s">
        <v>342</v>
      </c>
      <c r="C2" t="s">
        <v>343</v>
      </c>
      <c r="D2" t="s">
        <v>556</v>
      </c>
      <c r="E2" t="s">
        <v>557</v>
      </c>
      <c r="F2">
        <v>300</v>
      </c>
      <c r="G2">
        <v>61.6</v>
      </c>
      <c r="H2" t="s">
        <v>558</v>
      </c>
      <c r="I2" t="b">
        <v>0</v>
      </c>
      <c r="J2">
        <v>2561.67158896914</v>
      </c>
      <c r="K2">
        <v>434.48444402588802</v>
      </c>
      <c r="L2">
        <v>2.5092956158525199</v>
      </c>
      <c r="M2">
        <v>2565.4014000000002</v>
      </c>
    </row>
    <row r="3" spans="1:13" x14ac:dyDescent="0.25">
      <c r="A3">
        <v>215066</v>
      </c>
      <c r="B3" t="s">
        <v>352</v>
      </c>
      <c r="C3" t="s">
        <v>343</v>
      </c>
      <c r="D3" t="s">
        <v>556</v>
      </c>
      <c r="E3" t="s">
        <v>557</v>
      </c>
      <c r="F3">
        <v>300</v>
      </c>
      <c r="G3">
        <v>64.599999999999994</v>
      </c>
      <c r="H3" t="s">
        <v>558</v>
      </c>
      <c r="I3" t="b">
        <v>0</v>
      </c>
      <c r="J3">
        <v>2561.67158896914</v>
      </c>
      <c r="K3">
        <v>434.48444402588802</v>
      </c>
      <c r="L3">
        <v>2.5092956158525199</v>
      </c>
      <c r="M3">
        <v>2565.4014000000002</v>
      </c>
    </row>
    <row r="4" spans="1:13" x14ac:dyDescent="0.25">
      <c r="A4">
        <v>215067</v>
      </c>
      <c r="B4" t="s">
        <v>355</v>
      </c>
      <c r="C4" t="s">
        <v>343</v>
      </c>
      <c r="D4" t="s">
        <v>556</v>
      </c>
      <c r="E4" t="s">
        <v>557</v>
      </c>
      <c r="F4">
        <v>300</v>
      </c>
      <c r="G4">
        <v>47</v>
      </c>
      <c r="H4" t="s">
        <v>558</v>
      </c>
      <c r="I4" t="b">
        <v>0</v>
      </c>
      <c r="J4">
        <v>2476.3738518518498</v>
      </c>
      <c r="K4">
        <v>434.41214870640198</v>
      </c>
      <c r="L4">
        <v>2.5109092606085701</v>
      </c>
      <c r="M4">
        <v>2567.9861999999998</v>
      </c>
    </row>
    <row r="5" spans="1:13" x14ac:dyDescent="0.25">
      <c r="A5">
        <v>215068</v>
      </c>
      <c r="B5" t="s">
        <v>358</v>
      </c>
      <c r="C5" t="s">
        <v>343</v>
      </c>
      <c r="D5" t="s">
        <v>556</v>
      </c>
      <c r="E5" t="s">
        <v>557</v>
      </c>
      <c r="F5">
        <v>300</v>
      </c>
      <c r="G5">
        <v>57.6</v>
      </c>
      <c r="H5" t="s">
        <v>558</v>
      </c>
      <c r="I5" t="b">
        <v>0</v>
      </c>
      <c r="J5">
        <v>2762.1472637163201</v>
      </c>
      <c r="K5">
        <v>394.73885652938702</v>
      </c>
      <c r="L5">
        <v>3.8687664328633198</v>
      </c>
      <c r="M5">
        <v>12.8934</v>
      </c>
    </row>
    <row r="6" spans="1:13" x14ac:dyDescent="0.25">
      <c r="A6">
        <v>215069</v>
      </c>
      <c r="B6" t="s">
        <v>360</v>
      </c>
      <c r="C6" t="s">
        <v>343</v>
      </c>
      <c r="D6" t="s">
        <v>556</v>
      </c>
      <c r="E6" t="s">
        <v>557</v>
      </c>
      <c r="F6">
        <v>300</v>
      </c>
      <c r="G6">
        <v>36.4</v>
      </c>
      <c r="H6" t="s">
        <v>559</v>
      </c>
      <c r="I6" t="b">
        <v>0</v>
      </c>
      <c r="J6">
        <v>2529.5331912645302</v>
      </c>
      <c r="K6">
        <v>433.91817748968998</v>
      </c>
      <c r="L6">
        <v>2.52380359738041</v>
      </c>
      <c r="M6">
        <v>2587.2525000000001</v>
      </c>
    </row>
    <row r="7" spans="1:13" x14ac:dyDescent="0.25">
      <c r="A7">
        <v>215070</v>
      </c>
      <c r="B7" t="s">
        <v>363</v>
      </c>
      <c r="C7" t="s">
        <v>343</v>
      </c>
      <c r="D7" t="s">
        <v>556</v>
      </c>
      <c r="E7" t="s">
        <v>557</v>
      </c>
      <c r="F7">
        <v>146</v>
      </c>
      <c r="G7">
        <v>34</v>
      </c>
      <c r="H7" t="s">
        <v>559</v>
      </c>
      <c r="I7" t="b">
        <v>0</v>
      </c>
      <c r="J7">
        <v>2529.5331912645302</v>
      </c>
      <c r="K7">
        <v>433.91817748968998</v>
      </c>
      <c r="L7">
        <v>2.52380359738041</v>
      </c>
      <c r="M7">
        <v>2587.2525000000001</v>
      </c>
    </row>
    <row r="8" spans="1:13" x14ac:dyDescent="0.25">
      <c r="A8">
        <v>215071</v>
      </c>
      <c r="B8" t="s">
        <v>364</v>
      </c>
      <c r="C8" t="s">
        <v>343</v>
      </c>
      <c r="D8" t="s">
        <v>556</v>
      </c>
      <c r="E8" t="s">
        <v>557</v>
      </c>
      <c r="F8">
        <v>62</v>
      </c>
      <c r="G8">
        <v>35.700000000000003</v>
      </c>
      <c r="H8" t="s">
        <v>559</v>
      </c>
      <c r="I8" t="b">
        <v>0</v>
      </c>
      <c r="J8">
        <v>2529.5331912645302</v>
      </c>
      <c r="K8">
        <v>433.91817748968998</v>
      </c>
      <c r="L8">
        <v>2.52380359738041</v>
      </c>
      <c r="M8">
        <v>2587.2525000000001</v>
      </c>
    </row>
    <row r="9" spans="1:13" x14ac:dyDescent="0.25">
      <c r="A9">
        <v>215072</v>
      </c>
      <c r="B9" t="s">
        <v>365</v>
      </c>
      <c r="C9" t="s">
        <v>343</v>
      </c>
      <c r="D9" t="s">
        <v>556</v>
      </c>
      <c r="E9" t="s">
        <v>557</v>
      </c>
      <c r="F9">
        <v>300</v>
      </c>
      <c r="G9">
        <v>41.6</v>
      </c>
      <c r="H9" t="s">
        <v>559</v>
      </c>
      <c r="I9" t="b">
        <v>0</v>
      </c>
      <c r="J9">
        <v>2529.5331912645302</v>
      </c>
      <c r="K9">
        <v>433.91817748968998</v>
      </c>
      <c r="L9">
        <v>2.52380359738041</v>
      </c>
      <c r="M9">
        <v>2587.2525000000001</v>
      </c>
    </row>
    <row r="10" spans="1:13" x14ac:dyDescent="0.25">
      <c r="A10">
        <v>215073</v>
      </c>
      <c r="B10" t="s">
        <v>366</v>
      </c>
      <c r="C10" t="s">
        <v>343</v>
      </c>
      <c r="D10" t="s">
        <v>556</v>
      </c>
      <c r="E10" t="s">
        <v>557</v>
      </c>
      <c r="F10">
        <v>199</v>
      </c>
      <c r="G10">
        <v>29.4</v>
      </c>
      <c r="H10" t="s">
        <v>560</v>
      </c>
      <c r="I10" t="b">
        <v>0</v>
      </c>
      <c r="J10">
        <v>2529.5331912645302</v>
      </c>
      <c r="K10">
        <v>433.91817748968998</v>
      </c>
      <c r="L10">
        <v>2.52380359738041</v>
      </c>
      <c r="M10">
        <v>2587.2525000000001</v>
      </c>
    </row>
    <row r="11" spans="1:13" x14ac:dyDescent="0.25">
      <c r="A11">
        <v>215074</v>
      </c>
      <c r="B11" t="s">
        <v>352</v>
      </c>
      <c r="C11" t="s">
        <v>367</v>
      </c>
      <c r="D11" t="s">
        <v>556</v>
      </c>
      <c r="E11" t="s">
        <v>557</v>
      </c>
      <c r="F11">
        <v>300</v>
      </c>
      <c r="G11">
        <v>66.7</v>
      </c>
      <c r="H11" t="s">
        <v>558</v>
      </c>
      <c r="I11" t="b">
        <v>0</v>
      </c>
      <c r="J11">
        <v>2561.67158896914</v>
      </c>
      <c r="K11">
        <v>434.48444402588802</v>
      </c>
      <c r="L11">
        <v>2.5092956158525199</v>
      </c>
      <c r="M11">
        <v>2565.4014000000002</v>
      </c>
    </row>
    <row r="12" spans="1:13" x14ac:dyDescent="0.25">
      <c r="A12">
        <v>215075</v>
      </c>
      <c r="B12" t="s">
        <v>360</v>
      </c>
      <c r="C12" t="s">
        <v>367</v>
      </c>
      <c r="D12" t="s">
        <v>556</v>
      </c>
      <c r="E12" t="s">
        <v>557</v>
      </c>
      <c r="F12">
        <v>53</v>
      </c>
      <c r="G12">
        <v>35.4</v>
      </c>
      <c r="H12" t="s">
        <v>559</v>
      </c>
      <c r="I12" t="b">
        <v>0</v>
      </c>
      <c r="J12">
        <v>2529.5331912645302</v>
      </c>
      <c r="K12">
        <v>433.91817748968998</v>
      </c>
      <c r="L12">
        <v>2.52380359738041</v>
      </c>
      <c r="M12">
        <v>2587.2525000000001</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U12"/>
  <sheetViews>
    <sheetView workbookViewId="0">
      <selection activeCell="D11" sqref="D11:D12"/>
    </sheetView>
  </sheetViews>
  <sheetFormatPr defaultColWidth="11.42578125" defaultRowHeight="15" x14ac:dyDescent="0.25"/>
  <cols>
    <col min="4" max="4" width="15.7109375" customWidth="1"/>
    <col min="5" max="5" width="25.7109375" customWidth="1"/>
    <col min="6" max="6" width="31.7109375" customWidth="1"/>
    <col min="7" max="7" width="28.7109375" customWidth="1"/>
    <col min="8" max="8" width="29.7109375" customWidth="1"/>
    <col min="9" max="9" width="28.7109375" customWidth="1"/>
    <col min="10" max="11" width="25.7109375" customWidth="1"/>
    <col min="12" max="12" width="30.7109375" customWidth="1"/>
    <col min="13" max="13" width="29.7109375" customWidth="1"/>
    <col min="14" max="14" width="27.7109375" customWidth="1"/>
    <col min="15" max="16" width="29.7109375" customWidth="1"/>
    <col min="17" max="17" width="26.7109375" customWidth="1"/>
    <col min="18" max="19" width="41.7109375" customWidth="1"/>
    <col min="20" max="20" width="30.7109375" customWidth="1"/>
    <col min="21" max="23" width="31.7109375" customWidth="1"/>
    <col min="24" max="24" width="40.7109375" customWidth="1"/>
    <col min="25" max="25" width="31.7109375" customWidth="1"/>
    <col min="26" max="26" width="34.7109375" customWidth="1"/>
    <col min="27" max="27" width="30.7109375" customWidth="1"/>
    <col min="28" max="30" width="31.7109375" customWidth="1"/>
    <col min="31" max="32" width="32.7109375" customWidth="1"/>
    <col min="33" max="34" width="33.7109375" customWidth="1"/>
    <col min="35" max="35" width="31.7109375" customWidth="1"/>
    <col min="36" max="36" width="17.7109375" customWidth="1"/>
    <col min="37" max="39" width="15.7109375" customWidth="1"/>
    <col min="40" max="40" width="41.7109375" customWidth="1"/>
    <col min="41" max="41" width="40.7109375" customWidth="1"/>
    <col min="42" max="42" width="21.7109375" customWidth="1"/>
    <col min="43" max="43" width="7.7109375" customWidth="1"/>
    <col min="44" max="44" width="17.7109375" customWidth="1"/>
    <col min="45" max="45" width="23.7109375" customWidth="1"/>
    <col min="46" max="46" width="20.7109375" customWidth="1"/>
    <col min="47" max="47" width="21.7109375" customWidth="1"/>
    <col min="48" max="48" width="20.7109375" customWidth="1"/>
    <col min="49" max="50" width="17.7109375" customWidth="1"/>
    <col min="51" max="51" width="22.7109375" customWidth="1"/>
    <col min="52" max="52" width="21.7109375" customWidth="1"/>
    <col min="53" max="53" width="19.7109375" customWidth="1"/>
    <col min="54" max="55" width="21.7109375" customWidth="1"/>
    <col min="56" max="56" width="18.7109375" customWidth="1"/>
    <col min="57" max="58" width="33.7109375" customWidth="1"/>
    <col min="59" max="59" width="22.7109375" customWidth="1"/>
    <col min="60" max="62" width="23.7109375" customWidth="1"/>
    <col min="63" max="63" width="32.7109375" customWidth="1"/>
    <col min="64" max="64" width="23.7109375" customWidth="1"/>
    <col min="65" max="65" width="26.7109375" customWidth="1"/>
    <col min="66" max="66" width="22.7109375" customWidth="1"/>
    <col min="67" max="69" width="23.7109375" customWidth="1"/>
    <col min="70" max="71" width="24.7109375" customWidth="1"/>
    <col min="72" max="72" width="25.7109375" customWidth="1"/>
    <col min="73" max="73" width="23.7109375" customWidth="1"/>
  </cols>
  <sheetData>
    <row r="1" spans="1:73" x14ac:dyDescent="0.25">
      <c r="A1" t="s">
        <v>6</v>
      </c>
      <c r="B1" t="s">
        <v>10</v>
      </c>
      <c r="C1" t="s">
        <v>12</v>
      </c>
      <c r="D1" t="s">
        <v>86</v>
      </c>
      <c r="E1" t="s">
        <v>90</v>
      </c>
      <c r="F1" t="s">
        <v>93</v>
      </c>
      <c r="G1" t="s">
        <v>96</v>
      </c>
      <c r="H1" t="s">
        <v>99</v>
      </c>
      <c r="I1" t="s">
        <v>102</v>
      </c>
      <c r="J1" t="s">
        <v>105</v>
      </c>
      <c r="K1" t="s">
        <v>108</v>
      </c>
      <c r="L1" t="s">
        <v>111</v>
      </c>
      <c r="M1" t="s">
        <v>114</v>
      </c>
      <c r="N1" t="s">
        <v>117</v>
      </c>
      <c r="O1" t="s">
        <v>369</v>
      </c>
      <c r="P1" t="s">
        <v>123</v>
      </c>
      <c r="Q1" t="s">
        <v>126</v>
      </c>
      <c r="R1" t="s">
        <v>129</v>
      </c>
      <c r="S1" t="s">
        <v>132</v>
      </c>
      <c r="T1" t="s">
        <v>135</v>
      </c>
      <c r="U1" t="s">
        <v>138</v>
      </c>
      <c r="V1" t="s">
        <v>141</v>
      </c>
      <c r="W1" t="s">
        <v>144</v>
      </c>
      <c r="X1" t="s">
        <v>147</v>
      </c>
      <c r="Y1" t="s">
        <v>150</v>
      </c>
      <c r="Z1" t="s">
        <v>153</v>
      </c>
      <c r="AA1" t="s">
        <v>156</v>
      </c>
      <c r="AB1" t="s">
        <v>159</v>
      </c>
      <c r="AC1" t="s">
        <v>162</v>
      </c>
      <c r="AD1" t="s">
        <v>165</v>
      </c>
      <c r="AE1" t="s">
        <v>168</v>
      </c>
      <c r="AF1" t="s">
        <v>171</v>
      </c>
      <c r="AG1" t="s">
        <v>174</v>
      </c>
      <c r="AH1" t="s">
        <v>177</v>
      </c>
      <c r="AI1" t="s">
        <v>180</v>
      </c>
      <c r="AJ1" t="s">
        <v>183</v>
      </c>
      <c r="AK1" t="s">
        <v>186</v>
      </c>
      <c r="AL1" t="s">
        <v>189</v>
      </c>
      <c r="AM1" t="s">
        <v>192</v>
      </c>
      <c r="AN1" t="s">
        <v>195</v>
      </c>
      <c r="AO1" t="s">
        <v>199</v>
      </c>
      <c r="AP1" t="s">
        <v>370</v>
      </c>
      <c r="AQ1" t="s">
        <v>205</v>
      </c>
      <c r="AR1" t="s">
        <v>208</v>
      </c>
      <c r="AS1" t="s">
        <v>211</v>
      </c>
      <c r="AT1" t="s">
        <v>214</v>
      </c>
      <c r="AU1" t="s">
        <v>217</v>
      </c>
      <c r="AV1" t="s">
        <v>220</v>
      </c>
      <c r="AW1" t="s">
        <v>223</v>
      </c>
      <c r="AX1" t="s">
        <v>226</v>
      </c>
      <c r="AY1" t="s">
        <v>229</v>
      </c>
      <c r="AZ1" t="s">
        <v>232</v>
      </c>
      <c r="BA1" t="s">
        <v>235</v>
      </c>
      <c r="BB1" t="s">
        <v>238</v>
      </c>
      <c r="BC1" t="s">
        <v>241</v>
      </c>
      <c r="BD1" t="s">
        <v>244</v>
      </c>
      <c r="BE1" t="s">
        <v>247</v>
      </c>
      <c r="BF1" t="s">
        <v>250</v>
      </c>
      <c r="BG1" t="s">
        <v>253</v>
      </c>
      <c r="BH1" t="s">
        <v>256</v>
      </c>
      <c r="BI1" t="s">
        <v>259</v>
      </c>
      <c r="BJ1" t="s">
        <v>262</v>
      </c>
      <c r="BK1" t="s">
        <v>265</v>
      </c>
      <c r="BL1" t="s">
        <v>268</v>
      </c>
      <c r="BM1" t="s">
        <v>271</v>
      </c>
      <c r="BN1" t="s">
        <v>274</v>
      </c>
      <c r="BO1" t="s">
        <v>277</v>
      </c>
      <c r="BP1" t="s">
        <v>280</v>
      </c>
      <c r="BQ1" t="s">
        <v>283</v>
      </c>
      <c r="BR1" t="s">
        <v>286</v>
      </c>
      <c r="BS1" t="s">
        <v>289</v>
      </c>
      <c r="BT1" t="s">
        <v>292</v>
      </c>
      <c r="BU1" t="s">
        <v>295</v>
      </c>
    </row>
    <row r="2" spans="1:73" x14ac:dyDescent="0.25">
      <c r="A2" t="s">
        <v>371</v>
      </c>
      <c r="B2">
        <v>45540</v>
      </c>
      <c r="C2" t="s">
        <v>343</v>
      </c>
      <c r="D2">
        <v>36</v>
      </c>
      <c r="E2">
        <v>32</v>
      </c>
      <c r="F2">
        <v>8</v>
      </c>
      <c r="G2">
        <v>3</v>
      </c>
      <c r="H2">
        <v>4</v>
      </c>
      <c r="I2">
        <v>2</v>
      </c>
      <c r="J2">
        <v>2</v>
      </c>
      <c r="K2">
        <v>14</v>
      </c>
      <c r="L2">
        <v>11</v>
      </c>
      <c r="M2">
        <v>0</v>
      </c>
      <c r="N2">
        <v>1</v>
      </c>
      <c r="O2">
        <v>4</v>
      </c>
      <c r="P2">
        <v>1</v>
      </c>
      <c r="Q2">
        <v>0</v>
      </c>
      <c r="R2">
        <v>3</v>
      </c>
      <c r="S2">
        <v>17</v>
      </c>
      <c r="T2">
        <v>5</v>
      </c>
      <c r="U2">
        <v>1</v>
      </c>
      <c r="V2">
        <v>0</v>
      </c>
      <c r="W2">
        <v>8</v>
      </c>
      <c r="X2">
        <v>1</v>
      </c>
      <c r="Y2">
        <v>14</v>
      </c>
      <c r="Z2">
        <v>0</v>
      </c>
      <c r="AA2">
        <v>0</v>
      </c>
      <c r="AB2">
        <v>1</v>
      </c>
      <c r="AC2">
        <v>0</v>
      </c>
      <c r="AD2">
        <v>4</v>
      </c>
      <c r="AE2">
        <v>4</v>
      </c>
      <c r="AF2">
        <v>8</v>
      </c>
      <c r="AG2">
        <v>4</v>
      </c>
      <c r="AH2">
        <v>6</v>
      </c>
      <c r="AI2">
        <v>1</v>
      </c>
      <c r="AJ2">
        <v>3.74</v>
      </c>
      <c r="AK2">
        <v>2.76</v>
      </c>
      <c r="AL2">
        <v>0.9</v>
      </c>
      <c r="AM2">
        <v>0.77</v>
      </c>
      <c r="AN2">
        <v>0.21</v>
      </c>
      <c r="AO2">
        <v>0.21</v>
      </c>
      <c r="AP2" t="s">
        <v>372</v>
      </c>
      <c r="AQ2">
        <v>5240</v>
      </c>
      <c r="AR2">
        <v>4918</v>
      </c>
      <c r="AS2">
        <v>3096</v>
      </c>
      <c r="AT2">
        <v>193</v>
      </c>
      <c r="AU2">
        <v>266</v>
      </c>
      <c r="AV2">
        <v>411</v>
      </c>
      <c r="AW2">
        <v>411</v>
      </c>
      <c r="AX2">
        <v>919</v>
      </c>
      <c r="AY2">
        <v>629</v>
      </c>
      <c r="AZ2">
        <v>0</v>
      </c>
      <c r="BA2">
        <v>24</v>
      </c>
      <c r="BB2">
        <v>322</v>
      </c>
      <c r="BC2">
        <v>226</v>
      </c>
      <c r="BD2">
        <v>16</v>
      </c>
      <c r="BE2">
        <v>419</v>
      </c>
      <c r="BF2">
        <v>3620</v>
      </c>
      <c r="BG2">
        <v>774</v>
      </c>
      <c r="BH2">
        <v>8</v>
      </c>
      <c r="BI2">
        <v>0</v>
      </c>
      <c r="BJ2">
        <v>371</v>
      </c>
      <c r="BK2">
        <v>16</v>
      </c>
      <c r="BL2">
        <v>2411</v>
      </c>
      <c r="BM2">
        <v>0</v>
      </c>
      <c r="BN2">
        <v>0</v>
      </c>
      <c r="BO2">
        <v>8</v>
      </c>
      <c r="BP2">
        <v>0</v>
      </c>
      <c r="BQ2">
        <v>911</v>
      </c>
      <c r="BR2">
        <v>89</v>
      </c>
      <c r="BS2">
        <v>1427</v>
      </c>
      <c r="BT2">
        <v>1379</v>
      </c>
      <c r="BU2">
        <v>24</v>
      </c>
    </row>
    <row r="3" spans="1:73" x14ac:dyDescent="0.25">
      <c r="A3" t="s">
        <v>373</v>
      </c>
      <c r="B3">
        <v>45541</v>
      </c>
      <c r="C3" t="s">
        <v>343</v>
      </c>
      <c r="D3">
        <v>34</v>
      </c>
      <c r="E3">
        <v>29</v>
      </c>
      <c r="F3">
        <v>7</v>
      </c>
      <c r="G3">
        <v>3</v>
      </c>
      <c r="H3">
        <v>4</v>
      </c>
      <c r="I3">
        <v>3</v>
      </c>
      <c r="J3">
        <v>3</v>
      </c>
      <c r="K3">
        <v>12</v>
      </c>
      <c r="L3">
        <v>10</v>
      </c>
      <c r="M3">
        <v>0</v>
      </c>
      <c r="N3">
        <v>1</v>
      </c>
      <c r="O3">
        <v>5</v>
      </c>
      <c r="P3">
        <v>1</v>
      </c>
      <c r="Q3">
        <v>0</v>
      </c>
      <c r="R3">
        <v>4</v>
      </c>
      <c r="S3">
        <v>16</v>
      </c>
      <c r="T3">
        <v>5</v>
      </c>
      <c r="U3">
        <v>0</v>
      </c>
      <c r="V3">
        <v>0</v>
      </c>
      <c r="W3">
        <v>8</v>
      </c>
      <c r="X3">
        <v>0</v>
      </c>
      <c r="Y3">
        <v>16</v>
      </c>
      <c r="Z3">
        <v>0</v>
      </c>
      <c r="AA3">
        <v>0</v>
      </c>
      <c r="AB3">
        <v>0</v>
      </c>
      <c r="AC3">
        <v>0</v>
      </c>
      <c r="AD3">
        <v>3</v>
      </c>
      <c r="AE3">
        <v>1</v>
      </c>
      <c r="AF3">
        <v>9</v>
      </c>
      <c r="AG3">
        <v>6</v>
      </c>
      <c r="AH3">
        <v>7</v>
      </c>
      <c r="AI3">
        <v>0</v>
      </c>
      <c r="AJ3">
        <v>3.74</v>
      </c>
      <c r="AK3">
        <v>3.07</v>
      </c>
      <c r="AL3">
        <v>0.94</v>
      </c>
      <c r="AM3">
        <v>0.87</v>
      </c>
      <c r="AN3">
        <v>0.28999999999999998</v>
      </c>
      <c r="AO3">
        <v>0.11</v>
      </c>
      <c r="AP3" t="s">
        <v>372</v>
      </c>
      <c r="AQ3">
        <v>6434</v>
      </c>
      <c r="AR3">
        <v>6168</v>
      </c>
      <c r="AS3">
        <v>2080</v>
      </c>
      <c r="AT3">
        <v>476</v>
      </c>
      <c r="AU3">
        <v>548</v>
      </c>
      <c r="AV3">
        <v>903</v>
      </c>
      <c r="AW3">
        <v>903</v>
      </c>
      <c r="AX3">
        <v>2153</v>
      </c>
      <c r="AY3">
        <v>1927</v>
      </c>
      <c r="AZ3">
        <v>0</v>
      </c>
      <c r="BA3">
        <v>16</v>
      </c>
      <c r="BB3">
        <v>266</v>
      </c>
      <c r="BC3">
        <v>145</v>
      </c>
      <c r="BD3">
        <v>24</v>
      </c>
      <c r="BE3">
        <v>508</v>
      </c>
      <c r="BF3">
        <v>3774</v>
      </c>
      <c r="BG3">
        <v>1322</v>
      </c>
      <c r="BH3">
        <v>0</v>
      </c>
      <c r="BI3">
        <v>0</v>
      </c>
      <c r="BJ3">
        <v>790</v>
      </c>
      <c r="BK3">
        <v>8</v>
      </c>
      <c r="BL3">
        <v>3451</v>
      </c>
      <c r="BM3">
        <v>0</v>
      </c>
      <c r="BN3">
        <v>0</v>
      </c>
      <c r="BO3">
        <v>0</v>
      </c>
      <c r="BP3">
        <v>0</v>
      </c>
      <c r="BQ3">
        <v>750</v>
      </c>
      <c r="BR3">
        <v>73</v>
      </c>
      <c r="BS3">
        <v>1597</v>
      </c>
      <c r="BT3">
        <v>1459</v>
      </c>
      <c r="BU3">
        <v>0</v>
      </c>
    </row>
    <row r="4" spans="1:73" x14ac:dyDescent="0.25">
      <c r="A4" t="s">
        <v>374</v>
      </c>
      <c r="B4">
        <v>45542</v>
      </c>
      <c r="C4" t="s">
        <v>343</v>
      </c>
      <c r="D4">
        <v>30</v>
      </c>
      <c r="E4">
        <v>25</v>
      </c>
      <c r="F4">
        <v>7</v>
      </c>
      <c r="G4">
        <v>1</v>
      </c>
      <c r="H4">
        <v>2</v>
      </c>
      <c r="I4">
        <v>1</v>
      </c>
      <c r="J4">
        <v>1</v>
      </c>
      <c r="K4">
        <v>13</v>
      </c>
      <c r="L4">
        <v>10</v>
      </c>
      <c r="M4">
        <v>0</v>
      </c>
      <c r="N4">
        <v>2</v>
      </c>
      <c r="O4">
        <v>5</v>
      </c>
      <c r="P4">
        <v>1</v>
      </c>
      <c r="Q4">
        <v>1</v>
      </c>
      <c r="R4">
        <v>3</v>
      </c>
      <c r="S4">
        <v>14</v>
      </c>
      <c r="T4">
        <v>5</v>
      </c>
      <c r="U4">
        <v>1</v>
      </c>
      <c r="V4">
        <v>0</v>
      </c>
      <c r="W4">
        <v>6</v>
      </c>
      <c r="X4">
        <v>0</v>
      </c>
      <c r="Y4">
        <v>9</v>
      </c>
      <c r="Z4">
        <v>0</v>
      </c>
      <c r="AA4">
        <v>0</v>
      </c>
      <c r="AB4">
        <v>1</v>
      </c>
      <c r="AC4">
        <v>0</v>
      </c>
      <c r="AD4">
        <v>2</v>
      </c>
      <c r="AE4">
        <v>3</v>
      </c>
      <c r="AF4">
        <v>8</v>
      </c>
      <c r="AG4">
        <v>3</v>
      </c>
      <c r="AH4">
        <v>6</v>
      </c>
      <c r="AI4">
        <v>2</v>
      </c>
      <c r="AJ4">
        <v>4.21</v>
      </c>
      <c r="AK4">
        <v>2.4</v>
      </c>
      <c r="AL4">
        <v>0.84</v>
      </c>
      <c r="AM4">
        <v>0.7</v>
      </c>
      <c r="AN4">
        <v>0.35</v>
      </c>
      <c r="AO4">
        <v>0.35</v>
      </c>
      <c r="AP4" t="s">
        <v>372</v>
      </c>
      <c r="AQ4">
        <v>2139</v>
      </c>
      <c r="AR4">
        <v>1767</v>
      </c>
      <c r="AS4">
        <v>1182</v>
      </c>
      <c r="AT4">
        <v>4</v>
      </c>
      <c r="AU4">
        <v>11</v>
      </c>
      <c r="AV4">
        <v>79</v>
      </c>
      <c r="AW4">
        <v>79</v>
      </c>
      <c r="AX4">
        <v>484</v>
      </c>
      <c r="AY4">
        <v>405</v>
      </c>
      <c r="AZ4">
        <v>0</v>
      </c>
      <c r="BA4">
        <v>208</v>
      </c>
      <c r="BB4">
        <v>373</v>
      </c>
      <c r="BC4">
        <v>54</v>
      </c>
      <c r="BD4">
        <v>7</v>
      </c>
      <c r="BE4">
        <v>72</v>
      </c>
      <c r="BF4">
        <v>1670</v>
      </c>
      <c r="BG4">
        <v>136</v>
      </c>
      <c r="BH4">
        <v>100</v>
      </c>
      <c r="BI4">
        <v>0</v>
      </c>
      <c r="BJ4">
        <v>57</v>
      </c>
      <c r="BK4">
        <v>0</v>
      </c>
      <c r="BL4">
        <v>322</v>
      </c>
      <c r="BM4">
        <v>0</v>
      </c>
      <c r="BN4">
        <v>0</v>
      </c>
      <c r="BO4">
        <v>100</v>
      </c>
      <c r="BP4">
        <v>0</v>
      </c>
      <c r="BQ4">
        <v>333</v>
      </c>
      <c r="BR4">
        <v>39</v>
      </c>
      <c r="BS4">
        <v>892</v>
      </c>
      <c r="BT4">
        <v>168</v>
      </c>
      <c r="BU4">
        <v>204</v>
      </c>
    </row>
    <row r="5" spans="1:73" x14ac:dyDescent="0.25">
      <c r="A5" t="s">
        <v>375</v>
      </c>
      <c r="B5">
        <v>45543</v>
      </c>
      <c r="C5" t="s">
        <v>343</v>
      </c>
      <c r="D5">
        <v>22</v>
      </c>
      <c r="E5">
        <v>17</v>
      </c>
      <c r="F5">
        <v>8</v>
      </c>
      <c r="G5">
        <v>1</v>
      </c>
      <c r="H5">
        <v>1</v>
      </c>
      <c r="I5">
        <v>2</v>
      </c>
      <c r="J5">
        <v>2</v>
      </c>
      <c r="K5">
        <v>5</v>
      </c>
      <c r="L5">
        <v>4</v>
      </c>
      <c r="M5">
        <v>0</v>
      </c>
      <c r="N5">
        <v>1</v>
      </c>
      <c r="O5">
        <v>5</v>
      </c>
      <c r="P5">
        <v>1</v>
      </c>
      <c r="Q5">
        <v>1</v>
      </c>
      <c r="R5">
        <v>2</v>
      </c>
      <c r="S5">
        <v>9</v>
      </c>
      <c r="T5">
        <v>4</v>
      </c>
      <c r="U5">
        <v>1</v>
      </c>
      <c r="V5">
        <v>0</v>
      </c>
      <c r="W5">
        <v>5</v>
      </c>
      <c r="X5">
        <v>0</v>
      </c>
      <c r="Y5">
        <v>8</v>
      </c>
      <c r="Z5">
        <v>0</v>
      </c>
      <c r="AA5">
        <v>0</v>
      </c>
      <c r="AB5">
        <v>1</v>
      </c>
      <c r="AC5">
        <v>0</v>
      </c>
      <c r="AD5">
        <v>4</v>
      </c>
      <c r="AE5">
        <v>1</v>
      </c>
      <c r="AF5">
        <v>3</v>
      </c>
      <c r="AG5">
        <v>2</v>
      </c>
      <c r="AH5">
        <v>4</v>
      </c>
      <c r="AI5">
        <v>1</v>
      </c>
      <c r="AJ5">
        <v>3.71</v>
      </c>
      <c r="AK5">
        <v>2.42</v>
      </c>
      <c r="AL5">
        <v>0.88</v>
      </c>
      <c r="AM5">
        <v>0.78</v>
      </c>
      <c r="AN5">
        <v>0.28000000000000003</v>
      </c>
      <c r="AO5">
        <v>0.22</v>
      </c>
      <c r="AP5" t="s">
        <v>372</v>
      </c>
      <c r="AQ5">
        <v>2372</v>
      </c>
      <c r="AR5">
        <v>2171</v>
      </c>
      <c r="AS5">
        <v>1544</v>
      </c>
      <c r="AT5">
        <v>43</v>
      </c>
      <c r="AU5">
        <v>54</v>
      </c>
      <c r="AV5">
        <v>129</v>
      </c>
      <c r="AW5">
        <v>129</v>
      </c>
      <c r="AX5">
        <v>391</v>
      </c>
      <c r="AY5">
        <v>373</v>
      </c>
      <c r="AZ5">
        <v>0</v>
      </c>
      <c r="BA5">
        <v>72</v>
      </c>
      <c r="BB5">
        <v>201</v>
      </c>
      <c r="BC5">
        <v>25</v>
      </c>
      <c r="BD5">
        <v>32</v>
      </c>
      <c r="BE5">
        <v>54</v>
      </c>
      <c r="BF5">
        <v>1691</v>
      </c>
      <c r="BG5">
        <v>387</v>
      </c>
      <c r="BH5">
        <v>50</v>
      </c>
      <c r="BI5">
        <v>0</v>
      </c>
      <c r="BJ5">
        <v>122</v>
      </c>
      <c r="BK5">
        <v>0</v>
      </c>
      <c r="BL5">
        <v>656</v>
      </c>
      <c r="BM5">
        <v>0</v>
      </c>
      <c r="BN5">
        <v>0</v>
      </c>
      <c r="BO5">
        <v>50</v>
      </c>
      <c r="BP5">
        <v>0</v>
      </c>
      <c r="BQ5">
        <v>606</v>
      </c>
      <c r="BR5">
        <v>18</v>
      </c>
      <c r="BS5">
        <v>781</v>
      </c>
      <c r="BT5">
        <v>459</v>
      </c>
      <c r="BU5">
        <v>68</v>
      </c>
    </row>
    <row r="6" spans="1:73" x14ac:dyDescent="0.25">
      <c r="A6" t="s">
        <v>376</v>
      </c>
      <c r="B6">
        <v>45544</v>
      </c>
      <c r="C6" t="s">
        <v>343</v>
      </c>
      <c r="D6">
        <v>20</v>
      </c>
      <c r="E6">
        <v>14</v>
      </c>
      <c r="F6">
        <v>6</v>
      </c>
      <c r="G6">
        <v>0</v>
      </c>
      <c r="H6">
        <v>1</v>
      </c>
      <c r="I6">
        <v>0</v>
      </c>
      <c r="J6">
        <v>0</v>
      </c>
      <c r="K6">
        <v>7</v>
      </c>
      <c r="L6">
        <v>5</v>
      </c>
      <c r="M6">
        <v>0</v>
      </c>
      <c r="N6">
        <v>2</v>
      </c>
      <c r="O6">
        <v>6</v>
      </c>
      <c r="P6">
        <v>1</v>
      </c>
      <c r="Q6">
        <v>2</v>
      </c>
      <c r="R6">
        <v>4</v>
      </c>
      <c r="S6">
        <v>11</v>
      </c>
      <c r="T6">
        <v>2</v>
      </c>
      <c r="U6">
        <v>0</v>
      </c>
      <c r="V6">
        <v>0</v>
      </c>
      <c r="W6">
        <v>3</v>
      </c>
      <c r="X6">
        <v>0</v>
      </c>
      <c r="Y6">
        <v>7</v>
      </c>
      <c r="Z6">
        <v>0</v>
      </c>
      <c r="AA6">
        <v>0</v>
      </c>
      <c r="AB6">
        <v>0</v>
      </c>
      <c r="AC6">
        <v>0</v>
      </c>
      <c r="AD6">
        <v>2</v>
      </c>
      <c r="AE6">
        <v>1</v>
      </c>
      <c r="AF6">
        <v>4</v>
      </c>
      <c r="AG6">
        <v>0</v>
      </c>
      <c r="AH6">
        <v>2</v>
      </c>
      <c r="AI6">
        <v>2</v>
      </c>
      <c r="AJ6">
        <v>2.56</v>
      </c>
      <c r="AK6">
        <v>1.6</v>
      </c>
      <c r="AL6">
        <v>0.69</v>
      </c>
      <c r="AM6">
        <v>0.54</v>
      </c>
      <c r="AN6">
        <v>0.41</v>
      </c>
      <c r="AO6">
        <v>0.41</v>
      </c>
      <c r="AP6" t="s">
        <v>372</v>
      </c>
      <c r="AQ6">
        <v>6338</v>
      </c>
      <c r="AR6">
        <v>3895</v>
      </c>
      <c r="AS6">
        <v>3078</v>
      </c>
      <c r="AT6">
        <v>24</v>
      </c>
      <c r="AU6">
        <v>42</v>
      </c>
      <c r="AV6">
        <v>30</v>
      </c>
      <c r="AW6">
        <v>30</v>
      </c>
      <c r="AX6">
        <v>720</v>
      </c>
      <c r="AY6">
        <v>683</v>
      </c>
      <c r="AZ6">
        <v>0</v>
      </c>
      <c r="BA6">
        <v>194</v>
      </c>
      <c r="BB6">
        <v>2443</v>
      </c>
      <c r="BC6">
        <v>2123</v>
      </c>
      <c r="BD6">
        <v>115</v>
      </c>
      <c r="BE6">
        <v>218</v>
      </c>
      <c r="BF6">
        <v>5648</v>
      </c>
      <c r="BG6">
        <v>284</v>
      </c>
      <c r="BH6">
        <v>60</v>
      </c>
      <c r="BI6">
        <v>0</v>
      </c>
      <c r="BJ6">
        <v>115</v>
      </c>
      <c r="BK6">
        <v>0</v>
      </c>
      <c r="BL6">
        <v>460</v>
      </c>
      <c r="BM6">
        <v>0</v>
      </c>
      <c r="BN6">
        <v>0</v>
      </c>
      <c r="BO6">
        <v>73</v>
      </c>
      <c r="BP6">
        <v>0</v>
      </c>
      <c r="BQ6">
        <v>435</v>
      </c>
      <c r="BR6">
        <v>24</v>
      </c>
      <c r="BS6">
        <v>2848</v>
      </c>
      <c r="BT6">
        <v>248</v>
      </c>
      <c r="BU6">
        <v>194</v>
      </c>
    </row>
    <row r="7" spans="1:73" x14ac:dyDescent="0.25">
      <c r="A7" t="s">
        <v>377</v>
      </c>
      <c r="B7">
        <v>45545</v>
      </c>
      <c r="C7" t="s">
        <v>343</v>
      </c>
      <c r="D7">
        <v>17</v>
      </c>
      <c r="E7">
        <v>13</v>
      </c>
      <c r="F7">
        <v>5</v>
      </c>
      <c r="G7">
        <v>1</v>
      </c>
      <c r="H7">
        <v>2</v>
      </c>
      <c r="I7">
        <v>0</v>
      </c>
      <c r="J7">
        <v>0</v>
      </c>
      <c r="K7">
        <v>4</v>
      </c>
      <c r="L7">
        <v>3</v>
      </c>
      <c r="M7">
        <v>0</v>
      </c>
      <c r="N7">
        <v>1</v>
      </c>
      <c r="O7">
        <v>4</v>
      </c>
      <c r="P7">
        <v>1</v>
      </c>
      <c r="Q7">
        <v>0</v>
      </c>
      <c r="R7">
        <v>0</v>
      </c>
      <c r="S7">
        <v>7</v>
      </c>
      <c r="T7">
        <v>2</v>
      </c>
      <c r="U7">
        <v>1</v>
      </c>
      <c r="V7">
        <v>0</v>
      </c>
      <c r="W7">
        <v>6</v>
      </c>
      <c r="X7">
        <v>0</v>
      </c>
      <c r="Y7">
        <v>5</v>
      </c>
      <c r="Z7">
        <v>0</v>
      </c>
      <c r="AA7">
        <v>0</v>
      </c>
      <c r="AB7">
        <v>1</v>
      </c>
      <c r="AC7">
        <v>0</v>
      </c>
      <c r="AD7">
        <v>2</v>
      </c>
      <c r="AE7">
        <v>1</v>
      </c>
      <c r="AF7">
        <v>3</v>
      </c>
      <c r="AG7">
        <v>1</v>
      </c>
      <c r="AH7">
        <v>4</v>
      </c>
      <c r="AI7">
        <v>1</v>
      </c>
      <c r="AJ7">
        <v>2.63</v>
      </c>
      <c r="AK7">
        <v>1.73</v>
      </c>
      <c r="AL7">
        <v>0.72</v>
      </c>
      <c r="AM7">
        <v>0.61</v>
      </c>
      <c r="AN7">
        <v>0.28000000000000003</v>
      </c>
      <c r="AO7">
        <v>0.43</v>
      </c>
      <c r="AP7" t="s">
        <v>372</v>
      </c>
      <c r="AQ7">
        <v>527</v>
      </c>
      <c r="AR7">
        <v>244</v>
      </c>
      <c r="AS7">
        <v>179</v>
      </c>
      <c r="AT7">
        <v>4</v>
      </c>
      <c r="AU7">
        <v>14</v>
      </c>
      <c r="AV7">
        <v>0</v>
      </c>
      <c r="AW7">
        <v>0</v>
      </c>
      <c r="AX7">
        <v>39</v>
      </c>
      <c r="AY7">
        <v>32</v>
      </c>
      <c r="AZ7">
        <v>0</v>
      </c>
      <c r="BA7">
        <v>54</v>
      </c>
      <c r="BB7">
        <v>283</v>
      </c>
      <c r="BC7">
        <v>222</v>
      </c>
      <c r="BD7">
        <v>0</v>
      </c>
      <c r="BE7">
        <v>0</v>
      </c>
      <c r="BF7">
        <v>462</v>
      </c>
      <c r="BG7">
        <v>7</v>
      </c>
      <c r="BH7">
        <v>7</v>
      </c>
      <c r="BI7">
        <v>0</v>
      </c>
      <c r="BJ7">
        <v>39</v>
      </c>
      <c r="BK7">
        <v>0</v>
      </c>
      <c r="BL7">
        <v>25</v>
      </c>
      <c r="BM7">
        <v>0</v>
      </c>
      <c r="BN7">
        <v>0</v>
      </c>
      <c r="BO7">
        <v>7</v>
      </c>
      <c r="BP7">
        <v>0</v>
      </c>
      <c r="BQ7">
        <v>21</v>
      </c>
      <c r="BR7">
        <v>7</v>
      </c>
      <c r="BS7">
        <v>165</v>
      </c>
      <c r="BT7">
        <v>25</v>
      </c>
      <c r="BU7">
        <v>54</v>
      </c>
    </row>
    <row r="8" spans="1:73" x14ac:dyDescent="0.25">
      <c r="A8" t="s">
        <v>378</v>
      </c>
      <c r="B8">
        <v>45546</v>
      </c>
      <c r="C8" t="s">
        <v>343</v>
      </c>
      <c r="D8">
        <v>16</v>
      </c>
      <c r="E8">
        <v>11</v>
      </c>
      <c r="F8">
        <v>6</v>
      </c>
      <c r="G8">
        <v>2</v>
      </c>
      <c r="H8">
        <v>1</v>
      </c>
      <c r="I8">
        <v>0</v>
      </c>
      <c r="J8">
        <v>0</v>
      </c>
      <c r="K8">
        <v>2</v>
      </c>
      <c r="L8">
        <v>1</v>
      </c>
      <c r="M8">
        <v>0</v>
      </c>
      <c r="N8">
        <v>2</v>
      </c>
      <c r="O8">
        <v>5</v>
      </c>
      <c r="P8">
        <v>1</v>
      </c>
      <c r="Q8">
        <v>1</v>
      </c>
      <c r="R8">
        <v>0</v>
      </c>
      <c r="S8">
        <v>9</v>
      </c>
      <c r="T8">
        <v>1</v>
      </c>
      <c r="U8">
        <v>1</v>
      </c>
      <c r="V8">
        <v>0</v>
      </c>
      <c r="W8">
        <v>5</v>
      </c>
      <c r="X8">
        <v>0</v>
      </c>
      <c r="Y8">
        <v>5</v>
      </c>
      <c r="Z8">
        <v>0</v>
      </c>
      <c r="AA8">
        <v>0</v>
      </c>
      <c r="AB8">
        <v>0</v>
      </c>
      <c r="AC8">
        <v>0</v>
      </c>
      <c r="AD8">
        <v>2</v>
      </c>
      <c r="AE8">
        <v>1</v>
      </c>
      <c r="AF8">
        <v>2</v>
      </c>
      <c r="AG8">
        <v>0</v>
      </c>
      <c r="AH8">
        <v>4</v>
      </c>
      <c r="AI8">
        <v>1</v>
      </c>
      <c r="AJ8">
        <v>3.44</v>
      </c>
      <c r="AK8">
        <v>2.2000000000000002</v>
      </c>
      <c r="AL8">
        <v>0.83</v>
      </c>
      <c r="AM8">
        <v>0.79</v>
      </c>
      <c r="AN8">
        <v>0.33</v>
      </c>
      <c r="AO8">
        <v>0.33</v>
      </c>
      <c r="AP8" t="s">
        <v>372</v>
      </c>
      <c r="AQ8">
        <v>229</v>
      </c>
      <c r="AR8">
        <v>136</v>
      </c>
      <c r="AS8">
        <v>115</v>
      </c>
      <c r="AT8">
        <v>7</v>
      </c>
      <c r="AU8">
        <v>4</v>
      </c>
      <c r="AV8">
        <v>0</v>
      </c>
      <c r="AW8">
        <v>0</v>
      </c>
      <c r="AX8">
        <v>11</v>
      </c>
      <c r="AY8">
        <v>4</v>
      </c>
      <c r="AZ8">
        <v>0</v>
      </c>
      <c r="BA8">
        <v>43</v>
      </c>
      <c r="BB8">
        <v>93</v>
      </c>
      <c r="BC8">
        <v>39</v>
      </c>
      <c r="BD8">
        <v>4</v>
      </c>
      <c r="BE8">
        <v>0</v>
      </c>
      <c r="BF8">
        <v>197</v>
      </c>
      <c r="BG8">
        <v>4</v>
      </c>
      <c r="BH8">
        <v>4</v>
      </c>
      <c r="BI8">
        <v>0</v>
      </c>
      <c r="BJ8">
        <v>25</v>
      </c>
      <c r="BK8">
        <v>0</v>
      </c>
      <c r="BL8">
        <v>21</v>
      </c>
      <c r="BM8">
        <v>0</v>
      </c>
      <c r="BN8">
        <v>0</v>
      </c>
      <c r="BO8">
        <v>0</v>
      </c>
      <c r="BP8">
        <v>0</v>
      </c>
      <c r="BQ8">
        <v>25</v>
      </c>
      <c r="BR8">
        <v>7</v>
      </c>
      <c r="BS8">
        <v>79</v>
      </c>
      <c r="BT8">
        <v>18</v>
      </c>
      <c r="BU8">
        <v>25</v>
      </c>
    </row>
    <row r="9" spans="1:73" x14ac:dyDescent="0.25">
      <c r="A9" t="s">
        <v>379</v>
      </c>
      <c r="B9">
        <v>45545</v>
      </c>
      <c r="C9" t="s">
        <v>343</v>
      </c>
      <c r="D9">
        <v>26</v>
      </c>
      <c r="E9">
        <v>21</v>
      </c>
      <c r="F9">
        <v>6</v>
      </c>
      <c r="G9">
        <v>0</v>
      </c>
      <c r="H9">
        <v>0</v>
      </c>
      <c r="I9">
        <v>2</v>
      </c>
      <c r="J9">
        <v>2</v>
      </c>
      <c r="K9">
        <v>13</v>
      </c>
      <c r="L9">
        <v>11</v>
      </c>
      <c r="M9">
        <v>0</v>
      </c>
      <c r="N9">
        <v>2</v>
      </c>
      <c r="O9">
        <v>5</v>
      </c>
      <c r="P9">
        <v>1</v>
      </c>
      <c r="Q9">
        <v>1</v>
      </c>
      <c r="R9">
        <v>2</v>
      </c>
      <c r="S9">
        <v>14</v>
      </c>
      <c r="T9">
        <v>4</v>
      </c>
      <c r="U9">
        <v>1</v>
      </c>
      <c r="V9">
        <v>0</v>
      </c>
      <c r="W9">
        <v>4</v>
      </c>
      <c r="X9">
        <v>0</v>
      </c>
      <c r="Y9">
        <v>7</v>
      </c>
      <c r="Z9">
        <v>0</v>
      </c>
      <c r="AA9">
        <v>0</v>
      </c>
      <c r="AB9">
        <v>1</v>
      </c>
      <c r="AC9">
        <v>0</v>
      </c>
      <c r="AD9">
        <v>3</v>
      </c>
      <c r="AE9">
        <v>3</v>
      </c>
      <c r="AF9">
        <v>6</v>
      </c>
      <c r="AG9">
        <v>2</v>
      </c>
      <c r="AH9">
        <v>1</v>
      </c>
      <c r="AI9">
        <v>1</v>
      </c>
      <c r="AJ9">
        <v>4.1900000000000004</v>
      </c>
      <c r="AK9">
        <v>2.36</v>
      </c>
      <c r="AL9">
        <v>0.83</v>
      </c>
      <c r="AM9">
        <v>0.72</v>
      </c>
      <c r="AN9">
        <v>0.35</v>
      </c>
      <c r="AO9">
        <v>0.35</v>
      </c>
      <c r="AP9" t="s">
        <v>372</v>
      </c>
      <c r="AQ9">
        <v>1082</v>
      </c>
      <c r="AR9">
        <v>975</v>
      </c>
      <c r="AS9">
        <v>613</v>
      </c>
      <c r="AT9">
        <v>0</v>
      </c>
      <c r="AU9">
        <v>0</v>
      </c>
      <c r="AV9">
        <v>11</v>
      </c>
      <c r="AW9">
        <v>11</v>
      </c>
      <c r="AX9">
        <v>351</v>
      </c>
      <c r="AY9">
        <v>333</v>
      </c>
      <c r="AZ9">
        <v>0</v>
      </c>
      <c r="BA9">
        <v>75</v>
      </c>
      <c r="BB9">
        <v>107</v>
      </c>
      <c r="BC9">
        <v>7</v>
      </c>
      <c r="BD9">
        <v>11</v>
      </c>
      <c r="BE9">
        <v>25</v>
      </c>
      <c r="BF9">
        <v>950</v>
      </c>
      <c r="BG9">
        <v>54</v>
      </c>
      <c r="BH9">
        <v>7</v>
      </c>
      <c r="BI9">
        <v>0</v>
      </c>
      <c r="BJ9">
        <v>32</v>
      </c>
      <c r="BK9">
        <v>0</v>
      </c>
      <c r="BL9">
        <v>176</v>
      </c>
      <c r="BM9">
        <v>0</v>
      </c>
      <c r="BN9">
        <v>0</v>
      </c>
      <c r="BO9">
        <v>7</v>
      </c>
      <c r="BP9">
        <v>0</v>
      </c>
      <c r="BQ9">
        <v>143</v>
      </c>
      <c r="BR9">
        <v>47</v>
      </c>
      <c r="BS9">
        <v>491</v>
      </c>
      <c r="BT9">
        <v>125</v>
      </c>
      <c r="BU9">
        <v>54</v>
      </c>
    </row>
    <row r="10" spans="1:73" x14ac:dyDescent="0.25">
      <c r="A10" t="s">
        <v>380</v>
      </c>
      <c r="B10">
        <v>45547</v>
      </c>
      <c r="C10" t="s">
        <v>343</v>
      </c>
      <c r="D10">
        <v>18</v>
      </c>
      <c r="E10">
        <v>14</v>
      </c>
      <c r="F10">
        <v>5</v>
      </c>
      <c r="G10">
        <v>1</v>
      </c>
      <c r="H10">
        <v>2</v>
      </c>
      <c r="I10">
        <v>0</v>
      </c>
      <c r="J10">
        <v>0</v>
      </c>
      <c r="K10">
        <v>6</v>
      </c>
      <c r="L10">
        <v>6</v>
      </c>
      <c r="M10">
        <v>0</v>
      </c>
      <c r="N10">
        <v>1</v>
      </c>
      <c r="O10">
        <v>4</v>
      </c>
      <c r="P10">
        <v>1</v>
      </c>
      <c r="Q10">
        <v>1</v>
      </c>
      <c r="R10">
        <v>3</v>
      </c>
      <c r="S10">
        <v>8</v>
      </c>
      <c r="T10">
        <v>4</v>
      </c>
      <c r="U10">
        <v>0</v>
      </c>
      <c r="V10">
        <v>0</v>
      </c>
      <c r="W10">
        <v>3</v>
      </c>
      <c r="X10">
        <v>0</v>
      </c>
      <c r="Y10">
        <v>7</v>
      </c>
      <c r="Z10">
        <v>0</v>
      </c>
      <c r="AA10">
        <v>0</v>
      </c>
      <c r="AB10">
        <v>0</v>
      </c>
      <c r="AC10">
        <v>0</v>
      </c>
      <c r="AD10">
        <v>2</v>
      </c>
      <c r="AE10">
        <v>1</v>
      </c>
      <c r="AF10">
        <v>4</v>
      </c>
      <c r="AG10">
        <v>1</v>
      </c>
      <c r="AH10">
        <v>3</v>
      </c>
      <c r="AI10">
        <v>1</v>
      </c>
      <c r="AJ10">
        <v>2.0499999999999998</v>
      </c>
      <c r="AK10">
        <v>1.78</v>
      </c>
      <c r="AL10">
        <v>0.67</v>
      </c>
      <c r="AM10">
        <v>0.62</v>
      </c>
      <c r="AN10">
        <v>0.22</v>
      </c>
      <c r="AO10">
        <v>0.56000000000000005</v>
      </c>
      <c r="AP10" t="s">
        <v>372</v>
      </c>
      <c r="AQ10">
        <v>713</v>
      </c>
      <c r="AR10">
        <v>272</v>
      </c>
      <c r="AS10">
        <v>72</v>
      </c>
      <c r="AT10">
        <v>18</v>
      </c>
      <c r="AU10">
        <v>18</v>
      </c>
      <c r="AV10">
        <v>0</v>
      </c>
      <c r="AW10">
        <v>0</v>
      </c>
      <c r="AX10">
        <v>165</v>
      </c>
      <c r="AY10">
        <v>165</v>
      </c>
      <c r="AZ10">
        <v>0</v>
      </c>
      <c r="BA10">
        <v>18</v>
      </c>
      <c r="BB10">
        <v>441</v>
      </c>
      <c r="BC10">
        <v>394</v>
      </c>
      <c r="BD10">
        <v>11</v>
      </c>
      <c r="BE10">
        <v>21</v>
      </c>
      <c r="BF10">
        <v>548</v>
      </c>
      <c r="BG10">
        <v>90</v>
      </c>
      <c r="BH10">
        <v>0</v>
      </c>
      <c r="BI10">
        <v>0</v>
      </c>
      <c r="BJ10">
        <v>54</v>
      </c>
      <c r="BK10">
        <v>0</v>
      </c>
      <c r="BL10">
        <v>118</v>
      </c>
      <c r="BM10">
        <v>0</v>
      </c>
      <c r="BN10">
        <v>0</v>
      </c>
      <c r="BO10">
        <v>0</v>
      </c>
      <c r="BP10">
        <v>0</v>
      </c>
      <c r="BQ10">
        <v>25</v>
      </c>
      <c r="BR10">
        <v>54</v>
      </c>
      <c r="BS10">
        <v>68</v>
      </c>
      <c r="BT10">
        <v>25</v>
      </c>
      <c r="BU10">
        <v>18</v>
      </c>
    </row>
    <row r="11" spans="1:73" x14ac:dyDescent="0.25">
      <c r="A11" t="s">
        <v>381</v>
      </c>
      <c r="B11">
        <v>45541</v>
      </c>
      <c r="C11" t="s">
        <v>367</v>
      </c>
      <c r="D11">
        <v>34</v>
      </c>
      <c r="E11">
        <v>30</v>
      </c>
      <c r="F11">
        <v>4</v>
      </c>
      <c r="G11">
        <v>3</v>
      </c>
      <c r="H11">
        <v>8</v>
      </c>
      <c r="I11">
        <v>1</v>
      </c>
      <c r="J11">
        <v>1</v>
      </c>
      <c r="K11">
        <v>14</v>
      </c>
      <c r="L11">
        <v>11</v>
      </c>
      <c r="M11">
        <v>0</v>
      </c>
      <c r="N11">
        <v>1</v>
      </c>
      <c r="O11">
        <v>4</v>
      </c>
      <c r="P11">
        <v>1</v>
      </c>
      <c r="Q11">
        <v>0</v>
      </c>
      <c r="R11">
        <v>4</v>
      </c>
      <c r="S11">
        <v>16</v>
      </c>
      <c r="T11">
        <v>3</v>
      </c>
      <c r="U11">
        <v>3</v>
      </c>
      <c r="V11">
        <v>0</v>
      </c>
      <c r="W11">
        <v>6</v>
      </c>
      <c r="X11">
        <v>0</v>
      </c>
      <c r="Y11">
        <v>15</v>
      </c>
      <c r="Z11">
        <v>0</v>
      </c>
      <c r="AA11">
        <v>0</v>
      </c>
      <c r="AB11">
        <v>2</v>
      </c>
      <c r="AC11">
        <v>0</v>
      </c>
      <c r="AD11">
        <v>2</v>
      </c>
      <c r="AE11">
        <v>2</v>
      </c>
      <c r="AF11">
        <v>8</v>
      </c>
      <c r="AG11">
        <v>4</v>
      </c>
      <c r="AH11">
        <v>8</v>
      </c>
      <c r="AI11">
        <v>0</v>
      </c>
      <c r="AJ11">
        <v>3.87</v>
      </c>
      <c r="AK11">
        <v>2.83</v>
      </c>
      <c r="AL11">
        <v>0.92</v>
      </c>
      <c r="AM11">
        <v>0.8</v>
      </c>
      <c r="AN11">
        <v>0.18</v>
      </c>
      <c r="AO11">
        <v>0.16</v>
      </c>
      <c r="AP11" t="s">
        <v>372</v>
      </c>
      <c r="AQ11">
        <v>13947</v>
      </c>
      <c r="AR11">
        <v>13704</v>
      </c>
      <c r="AS11">
        <v>4312</v>
      </c>
      <c r="AT11">
        <v>891</v>
      </c>
      <c r="AU11">
        <v>2935</v>
      </c>
      <c r="AV11">
        <v>1154</v>
      </c>
      <c r="AW11">
        <v>1154</v>
      </c>
      <c r="AX11">
        <v>4393</v>
      </c>
      <c r="AY11">
        <v>2713</v>
      </c>
      <c r="AZ11">
        <v>0</v>
      </c>
      <c r="BA11">
        <v>20</v>
      </c>
      <c r="BB11">
        <v>243</v>
      </c>
      <c r="BC11">
        <v>142</v>
      </c>
      <c r="BD11">
        <v>0</v>
      </c>
      <c r="BE11">
        <v>3057</v>
      </c>
      <c r="BF11">
        <v>6903</v>
      </c>
      <c r="BG11">
        <v>2429</v>
      </c>
      <c r="BH11">
        <v>283</v>
      </c>
      <c r="BI11">
        <v>0</v>
      </c>
      <c r="BJ11">
        <v>1154</v>
      </c>
      <c r="BK11">
        <v>20</v>
      </c>
      <c r="BL11">
        <v>6964</v>
      </c>
      <c r="BM11">
        <v>0</v>
      </c>
      <c r="BN11">
        <v>0</v>
      </c>
      <c r="BO11">
        <v>263</v>
      </c>
      <c r="BP11">
        <v>0</v>
      </c>
      <c r="BQ11">
        <v>3502</v>
      </c>
      <c r="BR11">
        <v>61</v>
      </c>
      <c r="BS11">
        <v>2551</v>
      </c>
      <c r="BT11">
        <v>3117</v>
      </c>
      <c r="BU11">
        <v>0</v>
      </c>
    </row>
    <row r="12" spans="1:73" x14ac:dyDescent="0.25">
      <c r="A12" t="s">
        <v>382</v>
      </c>
      <c r="B12">
        <v>45544</v>
      </c>
      <c r="C12" t="s">
        <v>367</v>
      </c>
      <c r="D12">
        <v>9</v>
      </c>
      <c r="E12">
        <v>8</v>
      </c>
      <c r="F12">
        <v>3</v>
      </c>
      <c r="G12">
        <v>0</v>
      </c>
      <c r="H12">
        <v>2</v>
      </c>
      <c r="I12">
        <v>0</v>
      </c>
      <c r="J12">
        <v>0</v>
      </c>
      <c r="K12">
        <v>3</v>
      </c>
      <c r="L12">
        <v>2</v>
      </c>
      <c r="M12">
        <v>0</v>
      </c>
      <c r="N12">
        <v>0</v>
      </c>
      <c r="O12">
        <v>1</v>
      </c>
      <c r="P12">
        <v>1</v>
      </c>
      <c r="Q12">
        <v>0</v>
      </c>
      <c r="R12">
        <v>2</v>
      </c>
      <c r="S12">
        <v>6</v>
      </c>
      <c r="T12">
        <v>0</v>
      </c>
      <c r="U12">
        <v>0</v>
      </c>
      <c r="V12">
        <v>0</v>
      </c>
      <c r="W12">
        <v>1</v>
      </c>
      <c r="X12">
        <v>0</v>
      </c>
      <c r="Y12">
        <v>3</v>
      </c>
      <c r="Z12">
        <v>0</v>
      </c>
      <c r="AA12">
        <v>0</v>
      </c>
      <c r="AB12">
        <v>0</v>
      </c>
      <c r="AC12">
        <v>0</v>
      </c>
      <c r="AD12">
        <v>2</v>
      </c>
      <c r="AE12">
        <v>0</v>
      </c>
      <c r="AF12">
        <v>3</v>
      </c>
      <c r="AG12">
        <v>0</v>
      </c>
      <c r="AH12">
        <v>1</v>
      </c>
      <c r="AI12">
        <v>0</v>
      </c>
      <c r="AJ12">
        <v>4.6399999999999997</v>
      </c>
      <c r="AK12">
        <v>1.48</v>
      </c>
      <c r="AL12">
        <v>0.68</v>
      </c>
      <c r="AM12">
        <v>0.67</v>
      </c>
      <c r="AN12">
        <v>0.47</v>
      </c>
      <c r="AO12">
        <v>0.47</v>
      </c>
      <c r="AP12" t="s">
        <v>372</v>
      </c>
      <c r="AQ12">
        <v>190</v>
      </c>
      <c r="AR12">
        <v>186</v>
      </c>
      <c r="AS12">
        <v>97</v>
      </c>
      <c r="AT12">
        <v>0</v>
      </c>
      <c r="AU12">
        <v>21</v>
      </c>
      <c r="AV12">
        <v>0</v>
      </c>
      <c r="AW12">
        <v>0</v>
      </c>
      <c r="AX12">
        <v>68</v>
      </c>
      <c r="AY12">
        <v>14</v>
      </c>
      <c r="AZ12">
        <v>0</v>
      </c>
      <c r="BA12">
        <v>0</v>
      </c>
      <c r="BB12">
        <v>4</v>
      </c>
      <c r="BC12">
        <v>4</v>
      </c>
      <c r="BD12">
        <v>0</v>
      </c>
      <c r="BE12">
        <v>72</v>
      </c>
      <c r="BF12">
        <v>115</v>
      </c>
      <c r="BG12">
        <v>0</v>
      </c>
      <c r="BH12">
        <v>0</v>
      </c>
      <c r="BI12">
        <v>0</v>
      </c>
      <c r="BJ12">
        <v>4</v>
      </c>
      <c r="BK12">
        <v>0</v>
      </c>
      <c r="BL12">
        <v>75</v>
      </c>
      <c r="BM12">
        <v>0</v>
      </c>
      <c r="BN12">
        <v>0</v>
      </c>
      <c r="BO12">
        <v>0</v>
      </c>
      <c r="BP12">
        <v>0</v>
      </c>
      <c r="BQ12">
        <v>93</v>
      </c>
      <c r="BR12">
        <v>0</v>
      </c>
      <c r="BS12">
        <v>18</v>
      </c>
      <c r="BT12">
        <v>4</v>
      </c>
      <c r="BU12">
        <v>0</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86"/>
  <sheetViews>
    <sheetView workbookViewId="0"/>
  </sheetViews>
  <sheetFormatPr defaultColWidth="11.42578125" defaultRowHeight="15" x14ac:dyDescent="0.25"/>
  <cols>
    <col min="1" max="1" width="30.7109375" customWidth="1"/>
    <col min="2" max="12" width="6.7109375" customWidth="1"/>
  </cols>
  <sheetData>
    <row r="1" spans="1:12" x14ac:dyDescent="0.25">
      <c r="A1" t="s">
        <v>318</v>
      </c>
      <c r="B1" t="s">
        <v>375</v>
      </c>
      <c r="C1" t="s">
        <v>378</v>
      </c>
      <c r="D1" t="s">
        <v>379</v>
      </c>
      <c r="E1" t="s">
        <v>373</v>
      </c>
      <c r="F1" t="s">
        <v>381</v>
      </c>
      <c r="G1" t="s">
        <v>371</v>
      </c>
      <c r="H1" t="s">
        <v>374</v>
      </c>
      <c r="I1" t="s">
        <v>376</v>
      </c>
      <c r="J1" t="s">
        <v>377</v>
      </c>
      <c r="K1" t="s">
        <v>380</v>
      </c>
      <c r="L1" t="s">
        <v>382</v>
      </c>
    </row>
    <row r="2" spans="1:12" x14ac:dyDescent="0.25">
      <c r="A2" t="s">
        <v>430</v>
      </c>
      <c r="B2">
        <v>1</v>
      </c>
      <c r="C2">
        <v>2</v>
      </c>
      <c r="D2">
        <v>3</v>
      </c>
      <c r="E2">
        <v>0</v>
      </c>
      <c r="F2">
        <v>0</v>
      </c>
      <c r="G2">
        <v>0</v>
      </c>
      <c r="H2">
        <v>0</v>
      </c>
      <c r="I2">
        <v>0</v>
      </c>
      <c r="J2">
        <v>0</v>
      </c>
      <c r="K2">
        <v>0</v>
      </c>
      <c r="L2">
        <v>0</v>
      </c>
    </row>
    <row r="3" spans="1:12" x14ac:dyDescent="0.25">
      <c r="A3" t="s">
        <v>485</v>
      </c>
      <c r="B3">
        <v>0</v>
      </c>
      <c r="C3">
        <v>0</v>
      </c>
      <c r="D3">
        <v>0</v>
      </c>
      <c r="E3">
        <v>1</v>
      </c>
      <c r="F3">
        <v>0</v>
      </c>
      <c r="G3">
        <v>0</v>
      </c>
      <c r="H3">
        <v>0</v>
      </c>
      <c r="I3">
        <v>0</v>
      </c>
      <c r="J3">
        <v>0</v>
      </c>
      <c r="K3">
        <v>0</v>
      </c>
      <c r="L3">
        <v>0</v>
      </c>
    </row>
    <row r="4" spans="1:12" x14ac:dyDescent="0.25">
      <c r="A4" t="s">
        <v>496</v>
      </c>
      <c r="B4">
        <v>0</v>
      </c>
      <c r="C4">
        <v>0</v>
      </c>
      <c r="D4">
        <v>0</v>
      </c>
      <c r="E4">
        <v>1</v>
      </c>
      <c r="F4">
        <v>1</v>
      </c>
      <c r="G4">
        <v>0</v>
      </c>
      <c r="H4">
        <v>0</v>
      </c>
      <c r="I4">
        <v>0</v>
      </c>
      <c r="J4">
        <v>0</v>
      </c>
      <c r="K4">
        <v>0</v>
      </c>
      <c r="L4">
        <v>0</v>
      </c>
    </row>
    <row r="5" spans="1:12" x14ac:dyDescent="0.25">
      <c r="A5" t="s">
        <v>429</v>
      </c>
      <c r="B5">
        <v>45</v>
      </c>
      <c r="C5">
        <v>5</v>
      </c>
      <c r="D5">
        <v>29</v>
      </c>
      <c r="E5">
        <v>30</v>
      </c>
      <c r="F5">
        <v>65</v>
      </c>
      <c r="G5">
        <v>36</v>
      </c>
      <c r="H5">
        <v>37</v>
      </c>
      <c r="I5">
        <v>4</v>
      </c>
      <c r="J5">
        <v>5</v>
      </c>
      <c r="K5">
        <v>6</v>
      </c>
      <c r="L5">
        <v>25</v>
      </c>
    </row>
    <row r="6" spans="1:12" x14ac:dyDescent="0.25">
      <c r="A6" t="s">
        <v>465</v>
      </c>
      <c r="B6">
        <v>1</v>
      </c>
      <c r="C6">
        <v>0</v>
      </c>
      <c r="D6">
        <v>0</v>
      </c>
      <c r="E6">
        <v>6</v>
      </c>
      <c r="F6">
        <v>7</v>
      </c>
      <c r="G6">
        <v>2</v>
      </c>
      <c r="H6">
        <v>0</v>
      </c>
      <c r="I6">
        <v>0</v>
      </c>
      <c r="J6">
        <v>0</v>
      </c>
      <c r="K6">
        <v>1</v>
      </c>
      <c r="L6">
        <v>0</v>
      </c>
    </row>
    <row r="7" spans="1:12" x14ac:dyDescent="0.25">
      <c r="A7" t="s">
        <v>447</v>
      </c>
      <c r="B7">
        <v>10</v>
      </c>
      <c r="C7">
        <v>7</v>
      </c>
      <c r="D7">
        <v>15</v>
      </c>
      <c r="E7">
        <v>0</v>
      </c>
      <c r="F7">
        <v>0</v>
      </c>
      <c r="G7">
        <v>3</v>
      </c>
      <c r="H7">
        <v>27</v>
      </c>
      <c r="I7">
        <v>8</v>
      </c>
      <c r="J7">
        <v>15</v>
      </c>
      <c r="K7">
        <v>5</v>
      </c>
      <c r="L7">
        <v>0</v>
      </c>
    </row>
    <row r="8" spans="1:12" x14ac:dyDescent="0.25">
      <c r="A8" t="s">
        <v>532</v>
      </c>
      <c r="B8">
        <v>0</v>
      </c>
      <c r="C8">
        <v>1</v>
      </c>
      <c r="D8">
        <v>0</v>
      </c>
      <c r="E8">
        <v>0</v>
      </c>
      <c r="F8">
        <v>0</v>
      </c>
      <c r="G8">
        <v>0</v>
      </c>
      <c r="H8">
        <v>0</v>
      </c>
      <c r="I8">
        <v>0</v>
      </c>
      <c r="J8">
        <v>0</v>
      </c>
      <c r="K8">
        <v>0</v>
      </c>
      <c r="L8">
        <v>0</v>
      </c>
    </row>
    <row r="9" spans="1:12" x14ac:dyDescent="0.25">
      <c r="A9" t="s">
        <v>407</v>
      </c>
      <c r="B9">
        <v>0</v>
      </c>
      <c r="C9">
        <v>0</v>
      </c>
      <c r="D9">
        <v>0</v>
      </c>
      <c r="E9">
        <v>0</v>
      </c>
      <c r="F9">
        <v>0</v>
      </c>
      <c r="G9">
        <v>1</v>
      </c>
      <c r="H9">
        <v>0</v>
      </c>
      <c r="I9">
        <v>0</v>
      </c>
      <c r="J9">
        <v>0</v>
      </c>
      <c r="K9">
        <v>0</v>
      </c>
      <c r="L9">
        <v>0</v>
      </c>
    </row>
    <row r="10" spans="1:12" x14ac:dyDescent="0.25">
      <c r="A10" t="s">
        <v>553</v>
      </c>
      <c r="B10">
        <v>0</v>
      </c>
      <c r="C10">
        <v>0</v>
      </c>
      <c r="D10">
        <v>0</v>
      </c>
      <c r="E10">
        <v>0</v>
      </c>
      <c r="F10">
        <v>0</v>
      </c>
      <c r="G10">
        <v>0</v>
      </c>
      <c r="H10">
        <v>0</v>
      </c>
      <c r="I10">
        <v>0</v>
      </c>
      <c r="J10">
        <v>0</v>
      </c>
      <c r="K10">
        <v>0</v>
      </c>
      <c r="L10">
        <v>2</v>
      </c>
    </row>
    <row r="11" spans="1:12" x14ac:dyDescent="0.25">
      <c r="A11" t="s">
        <v>397</v>
      </c>
      <c r="B11">
        <v>7</v>
      </c>
      <c r="C11">
        <v>0</v>
      </c>
      <c r="D11">
        <v>29</v>
      </c>
      <c r="E11">
        <v>8</v>
      </c>
      <c r="F11">
        <v>0</v>
      </c>
      <c r="G11">
        <v>3</v>
      </c>
      <c r="H11">
        <v>8</v>
      </c>
      <c r="I11">
        <v>2</v>
      </c>
      <c r="J11">
        <v>1</v>
      </c>
      <c r="K11">
        <v>2</v>
      </c>
      <c r="L11">
        <v>0</v>
      </c>
    </row>
    <row r="12" spans="1:12" x14ac:dyDescent="0.25">
      <c r="A12" t="s">
        <v>512</v>
      </c>
      <c r="B12">
        <v>0</v>
      </c>
      <c r="C12">
        <v>0</v>
      </c>
      <c r="D12">
        <v>10</v>
      </c>
      <c r="E12">
        <v>0</v>
      </c>
      <c r="F12">
        <v>0</v>
      </c>
      <c r="G12">
        <v>0</v>
      </c>
      <c r="H12">
        <v>2</v>
      </c>
      <c r="I12">
        <v>0</v>
      </c>
      <c r="J12">
        <v>0</v>
      </c>
      <c r="K12">
        <v>15</v>
      </c>
      <c r="L12">
        <v>0</v>
      </c>
    </row>
    <row r="13" spans="1:12" x14ac:dyDescent="0.25">
      <c r="A13" t="s">
        <v>458</v>
      </c>
      <c r="B13">
        <v>0</v>
      </c>
      <c r="C13">
        <v>0</v>
      </c>
      <c r="D13">
        <v>0</v>
      </c>
      <c r="E13">
        <v>2</v>
      </c>
      <c r="F13">
        <v>0</v>
      </c>
      <c r="G13">
        <v>0</v>
      </c>
      <c r="H13">
        <v>0</v>
      </c>
      <c r="I13">
        <v>0</v>
      </c>
      <c r="J13">
        <v>0</v>
      </c>
      <c r="K13">
        <v>0</v>
      </c>
      <c r="L13">
        <v>0</v>
      </c>
    </row>
    <row r="14" spans="1:12" x14ac:dyDescent="0.25">
      <c r="A14" t="s">
        <v>531</v>
      </c>
      <c r="B14">
        <v>0</v>
      </c>
      <c r="C14">
        <v>1</v>
      </c>
      <c r="D14">
        <v>0</v>
      </c>
      <c r="E14">
        <v>0</v>
      </c>
      <c r="F14">
        <v>0</v>
      </c>
      <c r="G14">
        <v>0</v>
      </c>
      <c r="H14">
        <v>0</v>
      </c>
      <c r="I14">
        <v>0</v>
      </c>
      <c r="J14">
        <v>0</v>
      </c>
      <c r="K14">
        <v>0</v>
      </c>
      <c r="L14">
        <v>0</v>
      </c>
    </row>
    <row r="15" spans="1:12" x14ac:dyDescent="0.25">
      <c r="A15" t="s">
        <v>489</v>
      </c>
      <c r="B15">
        <v>1</v>
      </c>
      <c r="C15">
        <v>0</v>
      </c>
      <c r="D15">
        <v>0</v>
      </c>
      <c r="E15">
        <v>1</v>
      </c>
      <c r="F15">
        <v>0</v>
      </c>
      <c r="G15">
        <v>0</v>
      </c>
      <c r="H15">
        <v>0</v>
      </c>
      <c r="I15">
        <v>0</v>
      </c>
      <c r="J15">
        <v>0</v>
      </c>
      <c r="K15">
        <v>0</v>
      </c>
      <c r="L15">
        <v>0</v>
      </c>
    </row>
    <row r="16" spans="1:12" x14ac:dyDescent="0.25">
      <c r="A16" t="s">
        <v>416</v>
      </c>
      <c r="B16">
        <v>0</v>
      </c>
      <c r="C16">
        <v>0</v>
      </c>
      <c r="D16">
        <v>0</v>
      </c>
      <c r="E16">
        <v>13</v>
      </c>
      <c r="F16">
        <v>2</v>
      </c>
      <c r="G16">
        <v>4</v>
      </c>
      <c r="H16">
        <v>1</v>
      </c>
      <c r="I16">
        <v>0</v>
      </c>
      <c r="J16">
        <v>0</v>
      </c>
      <c r="K16">
        <v>0</v>
      </c>
      <c r="L16">
        <v>0</v>
      </c>
    </row>
    <row r="17" spans="1:12" x14ac:dyDescent="0.25">
      <c r="A17" t="s">
        <v>417</v>
      </c>
      <c r="B17">
        <v>0</v>
      </c>
      <c r="C17">
        <v>0</v>
      </c>
      <c r="D17">
        <v>0</v>
      </c>
      <c r="E17">
        <v>1</v>
      </c>
      <c r="F17">
        <v>0</v>
      </c>
      <c r="G17">
        <v>0</v>
      </c>
      <c r="H17">
        <v>0</v>
      </c>
      <c r="I17">
        <v>0</v>
      </c>
      <c r="J17">
        <v>0</v>
      </c>
      <c r="K17">
        <v>0</v>
      </c>
      <c r="L17">
        <v>0</v>
      </c>
    </row>
    <row r="18" spans="1:12" x14ac:dyDescent="0.25">
      <c r="A18" t="s">
        <v>513</v>
      </c>
      <c r="B18">
        <v>0</v>
      </c>
      <c r="C18">
        <v>0</v>
      </c>
      <c r="D18">
        <v>4</v>
      </c>
      <c r="E18">
        <v>0</v>
      </c>
      <c r="F18">
        <v>0</v>
      </c>
      <c r="G18">
        <v>0</v>
      </c>
      <c r="H18">
        <v>0</v>
      </c>
      <c r="I18">
        <v>1</v>
      </c>
      <c r="J18">
        <v>4</v>
      </c>
      <c r="K18">
        <v>5</v>
      </c>
      <c r="L18">
        <v>0</v>
      </c>
    </row>
    <row r="19" spans="1:12" x14ac:dyDescent="0.25">
      <c r="A19" t="s">
        <v>534</v>
      </c>
      <c r="B19">
        <v>0</v>
      </c>
      <c r="C19">
        <v>0</v>
      </c>
      <c r="D19">
        <v>2</v>
      </c>
      <c r="E19">
        <v>0</v>
      </c>
      <c r="F19">
        <v>0</v>
      </c>
      <c r="G19">
        <v>0</v>
      </c>
      <c r="H19">
        <v>0</v>
      </c>
      <c r="I19">
        <v>0</v>
      </c>
      <c r="J19">
        <v>0</v>
      </c>
      <c r="K19">
        <v>0</v>
      </c>
      <c r="L19">
        <v>0</v>
      </c>
    </row>
    <row r="20" spans="1:12" x14ac:dyDescent="0.25">
      <c r="A20" t="s">
        <v>536</v>
      </c>
      <c r="B20">
        <v>0</v>
      </c>
      <c r="C20">
        <v>0</v>
      </c>
      <c r="D20">
        <v>0</v>
      </c>
      <c r="E20">
        <v>0</v>
      </c>
      <c r="F20">
        <v>1</v>
      </c>
      <c r="G20">
        <v>0</v>
      </c>
      <c r="H20">
        <v>0</v>
      </c>
      <c r="I20">
        <v>0</v>
      </c>
      <c r="J20">
        <v>0</v>
      </c>
      <c r="K20">
        <v>0</v>
      </c>
      <c r="L20">
        <v>0</v>
      </c>
    </row>
    <row r="21" spans="1:12" x14ac:dyDescent="0.25">
      <c r="A21" t="s">
        <v>426</v>
      </c>
      <c r="B21">
        <v>0</v>
      </c>
      <c r="C21">
        <v>0</v>
      </c>
      <c r="D21">
        <v>0</v>
      </c>
      <c r="E21">
        <v>0</v>
      </c>
      <c r="F21">
        <v>0</v>
      </c>
      <c r="G21">
        <v>1</v>
      </c>
      <c r="H21">
        <v>0</v>
      </c>
      <c r="I21">
        <v>0</v>
      </c>
      <c r="J21">
        <v>0</v>
      </c>
      <c r="K21">
        <v>0</v>
      </c>
      <c r="L21">
        <v>0</v>
      </c>
    </row>
    <row r="22" spans="1:12" x14ac:dyDescent="0.25">
      <c r="A22" t="s">
        <v>437</v>
      </c>
      <c r="B22">
        <v>6</v>
      </c>
      <c r="C22">
        <v>1</v>
      </c>
      <c r="D22">
        <v>0</v>
      </c>
      <c r="E22">
        <v>7</v>
      </c>
      <c r="F22">
        <v>0</v>
      </c>
      <c r="G22">
        <v>7</v>
      </c>
      <c r="H22">
        <v>0</v>
      </c>
      <c r="I22">
        <v>2</v>
      </c>
      <c r="J22">
        <v>2</v>
      </c>
      <c r="K22">
        <v>1</v>
      </c>
      <c r="L22">
        <v>0</v>
      </c>
    </row>
    <row r="23" spans="1:12" x14ac:dyDescent="0.25">
      <c r="A23" t="s">
        <v>433</v>
      </c>
      <c r="B23">
        <v>0</v>
      </c>
      <c r="C23">
        <v>0</v>
      </c>
      <c r="D23">
        <v>0</v>
      </c>
      <c r="E23">
        <v>10</v>
      </c>
      <c r="F23">
        <v>14</v>
      </c>
      <c r="G23">
        <v>25</v>
      </c>
      <c r="H23">
        <v>0</v>
      </c>
      <c r="I23">
        <v>3</v>
      </c>
      <c r="J23">
        <v>0</v>
      </c>
      <c r="K23">
        <v>0</v>
      </c>
      <c r="L23">
        <v>0</v>
      </c>
    </row>
    <row r="24" spans="1:12" x14ac:dyDescent="0.25">
      <c r="A24" t="s">
        <v>529</v>
      </c>
      <c r="B24">
        <v>0</v>
      </c>
      <c r="C24">
        <v>0</v>
      </c>
      <c r="D24">
        <v>0</v>
      </c>
      <c r="E24">
        <v>0</v>
      </c>
      <c r="F24">
        <v>0</v>
      </c>
      <c r="G24">
        <v>0</v>
      </c>
      <c r="H24">
        <v>0</v>
      </c>
      <c r="I24">
        <v>0</v>
      </c>
      <c r="J24">
        <v>1</v>
      </c>
      <c r="K24">
        <v>5</v>
      </c>
      <c r="L24">
        <v>0</v>
      </c>
    </row>
    <row r="25" spans="1:12" x14ac:dyDescent="0.25">
      <c r="A25" t="s">
        <v>408</v>
      </c>
      <c r="B25">
        <v>0</v>
      </c>
      <c r="C25">
        <v>0</v>
      </c>
      <c r="D25">
        <v>0</v>
      </c>
      <c r="E25">
        <v>0</v>
      </c>
      <c r="F25">
        <v>5</v>
      </c>
      <c r="G25">
        <v>1</v>
      </c>
      <c r="H25">
        <v>0</v>
      </c>
      <c r="I25">
        <v>0</v>
      </c>
      <c r="J25">
        <v>0</v>
      </c>
      <c r="K25">
        <v>0</v>
      </c>
      <c r="L25">
        <v>0</v>
      </c>
    </row>
    <row r="26" spans="1:12" x14ac:dyDescent="0.25">
      <c r="A26" t="s">
        <v>410</v>
      </c>
      <c r="B26">
        <v>0</v>
      </c>
      <c r="C26">
        <v>0</v>
      </c>
      <c r="D26">
        <v>0</v>
      </c>
      <c r="E26">
        <v>31</v>
      </c>
      <c r="F26">
        <v>12</v>
      </c>
      <c r="G26">
        <v>4</v>
      </c>
      <c r="H26">
        <v>0</v>
      </c>
      <c r="I26">
        <v>1</v>
      </c>
      <c r="J26">
        <v>0</v>
      </c>
      <c r="K26">
        <v>0</v>
      </c>
      <c r="L26">
        <v>2</v>
      </c>
    </row>
    <row r="27" spans="1:12" x14ac:dyDescent="0.25">
      <c r="A27" t="s">
        <v>412</v>
      </c>
      <c r="B27">
        <v>0</v>
      </c>
      <c r="C27">
        <v>0</v>
      </c>
      <c r="D27">
        <v>0</v>
      </c>
      <c r="E27">
        <v>7</v>
      </c>
      <c r="F27">
        <v>1</v>
      </c>
      <c r="G27">
        <v>0</v>
      </c>
      <c r="H27">
        <v>0</v>
      </c>
      <c r="I27">
        <v>0</v>
      </c>
      <c r="J27">
        <v>0</v>
      </c>
      <c r="K27">
        <v>0</v>
      </c>
      <c r="L27">
        <v>0</v>
      </c>
    </row>
    <row r="28" spans="1:12" x14ac:dyDescent="0.25">
      <c r="A28" t="s">
        <v>507</v>
      </c>
      <c r="B28">
        <v>0</v>
      </c>
      <c r="C28">
        <v>5</v>
      </c>
      <c r="D28">
        <v>6</v>
      </c>
      <c r="E28">
        <v>0</v>
      </c>
      <c r="F28">
        <v>0</v>
      </c>
      <c r="G28">
        <v>0</v>
      </c>
      <c r="H28">
        <v>0</v>
      </c>
      <c r="I28">
        <v>0</v>
      </c>
      <c r="J28">
        <v>0</v>
      </c>
      <c r="K28">
        <v>0</v>
      </c>
      <c r="L28">
        <v>0</v>
      </c>
    </row>
    <row r="29" spans="1:12" x14ac:dyDescent="0.25">
      <c r="A29" t="s">
        <v>521</v>
      </c>
      <c r="B29">
        <v>1</v>
      </c>
      <c r="C29">
        <v>0</v>
      </c>
      <c r="D29">
        <v>0</v>
      </c>
      <c r="E29">
        <v>0</v>
      </c>
      <c r="F29">
        <v>0</v>
      </c>
      <c r="G29">
        <v>0</v>
      </c>
      <c r="H29">
        <v>2</v>
      </c>
      <c r="I29">
        <v>0</v>
      </c>
      <c r="J29">
        <v>2</v>
      </c>
      <c r="K29">
        <v>0</v>
      </c>
      <c r="L29">
        <v>0</v>
      </c>
    </row>
    <row r="30" spans="1:12" x14ac:dyDescent="0.25">
      <c r="A30" t="s">
        <v>467</v>
      </c>
      <c r="B30">
        <v>1</v>
      </c>
      <c r="C30">
        <v>0</v>
      </c>
      <c r="D30">
        <v>0</v>
      </c>
      <c r="E30">
        <v>4</v>
      </c>
      <c r="F30">
        <v>18</v>
      </c>
      <c r="G30">
        <v>0</v>
      </c>
      <c r="H30">
        <v>1</v>
      </c>
      <c r="I30">
        <v>0</v>
      </c>
      <c r="J30">
        <v>1</v>
      </c>
      <c r="K30">
        <v>4</v>
      </c>
      <c r="L30">
        <v>0</v>
      </c>
    </row>
    <row r="31" spans="1:12" x14ac:dyDescent="0.25">
      <c r="A31" t="s">
        <v>440</v>
      </c>
      <c r="B31">
        <v>5</v>
      </c>
      <c r="C31">
        <v>1</v>
      </c>
      <c r="D31">
        <v>1</v>
      </c>
      <c r="E31">
        <v>5</v>
      </c>
      <c r="F31">
        <v>0</v>
      </c>
      <c r="G31">
        <v>7</v>
      </c>
      <c r="H31">
        <v>2</v>
      </c>
      <c r="I31">
        <v>0</v>
      </c>
      <c r="J31">
        <v>0</v>
      </c>
      <c r="K31">
        <v>2</v>
      </c>
      <c r="L31">
        <v>0</v>
      </c>
    </row>
    <row r="32" spans="1:12" x14ac:dyDescent="0.25">
      <c r="A32" t="s">
        <v>456</v>
      </c>
      <c r="B32">
        <v>0</v>
      </c>
      <c r="C32">
        <v>0</v>
      </c>
      <c r="D32">
        <v>0</v>
      </c>
      <c r="E32">
        <v>3</v>
      </c>
      <c r="F32">
        <v>1</v>
      </c>
      <c r="G32">
        <v>0</v>
      </c>
      <c r="H32">
        <v>0</v>
      </c>
      <c r="I32">
        <v>0</v>
      </c>
      <c r="J32">
        <v>0</v>
      </c>
      <c r="K32">
        <v>0</v>
      </c>
      <c r="L32">
        <v>0</v>
      </c>
    </row>
    <row r="33" spans="1:12" x14ac:dyDescent="0.25">
      <c r="A33" t="s">
        <v>509</v>
      </c>
      <c r="B33">
        <v>0</v>
      </c>
      <c r="C33">
        <v>0</v>
      </c>
      <c r="D33">
        <v>0</v>
      </c>
      <c r="E33">
        <v>0</v>
      </c>
      <c r="F33">
        <v>0</v>
      </c>
      <c r="G33">
        <v>0</v>
      </c>
      <c r="H33">
        <v>0</v>
      </c>
      <c r="I33">
        <v>1</v>
      </c>
      <c r="J33">
        <v>0</v>
      </c>
      <c r="K33">
        <v>0</v>
      </c>
      <c r="L33">
        <v>0</v>
      </c>
    </row>
    <row r="34" spans="1:12" x14ac:dyDescent="0.25">
      <c r="A34" t="s">
        <v>470</v>
      </c>
      <c r="B34">
        <v>0</v>
      </c>
      <c r="C34">
        <v>0</v>
      </c>
      <c r="D34">
        <v>0</v>
      </c>
      <c r="E34">
        <v>7</v>
      </c>
      <c r="F34">
        <v>20</v>
      </c>
      <c r="G34">
        <v>7</v>
      </c>
      <c r="H34">
        <v>0</v>
      </c>
      <c r="I34">
        <v>0</v>
      </c>
      <c r="J34">
        <v>0</v>
      </c>
      <c r="K34">
        <v>0</v>
      </c>
      <c r="L34">
        <v>5</v>
      </c>
    </row>
    <row r="35" spans="1:12" x14ac:dyDescent="0.25">
      <c r="A35" t="s">
        <v>468</v>
      </c>
      <c r="B35">
        <v>0</v>
      </c>
      <c r="C35">
        <v>0</v>
      </c>
      <c r="D35">
        <v>0</v>
      </c>
      <c r="E35">
        <v>1</v>
      </c>
      <c r="F35">
        <v>0</v>
      </c>
      <c r="G35">
        <v>0</v>
      </c>
      <c r="H35">
        <v>0</v>
      </c>
      <c r="I35">
        <v>0</v>
      </c>
      <c r="J35">
        <v>0</v>
      </c>
      <c r="K35">
        <v>0</v>
      </c>
      <c r="L35">
        <v>0</v>
      </c>
    </row>
    <row r="36" spans="1:12" x14ac:dyDescent="0.25">
      <c r="A36" t="s">
        <v>499</v>
      </c>
      <c r="B36">
        <v>0</v>
      </c>
      <c r="C36">
        <v>0</v>
      </c>
      <c r="D36">
        <v>0</v>
      </c>
      <c r="E36">
        <v>1</v>
      </c>
      <c r="F36">
        <v>1</v>
      </c>
      <c r="G36">
        <v>0</v>
      </c>
      <c r="H36">
        <v>0</v>
      </c>
      <c r="I36">
        <v>0</v>
      </c>
      <c r="J36">
        <v>0</v>
      </c>
      <c r="K36">
        <v>0</v>
      </c>
      <c r="L36">
        <v>0</v>
      </c>
    </row>
    <row r="37" spans="1:12" x14ac:dyDescent="0.25">
      <c r="A37" t="s">
        <v>471</v>
      </c>
      <c r="B37">
        <v>0</v>
      </c>
      <c r="C37">
        <v>0</v>
      </c>
      <c r="D37">
        <v>0</v>
      </c>
      <c r="E37">
        <v>1</v>
      </c>
      <c r="F37">
        <v>0</v>
      </c>
      <c r="G37">
        <v>1</v>
      </c>
      <c r="H37">
        <v>0</v>
      </c>
      <c r="I37">
        <v>0</v>
      </c>
      <c r="J37">
        <v>0</v>
      </c>
      <c r="K37">
        <v>0</v>
      </c>
      <c r="L37">
        <v>0</v>
      </c>
    </row>
    <row r="38" spans="1:12" x14ac:dyDescent="0.25">
      <c r="A38" t="s">
        <v>552</v>
      </c>
      <c r="B38">
        <v>0</v>
      </c>
      <c r="C38">
        <v>0</v>
      </c>
      <c r="D38">
        <v>0</v>
      </c>
      <c r="E38">
        <v>0</v>
      </c>
      <c r="F38">
        <v>1</v>
      </c>
      <c r="G38">
        <v>0</v>
      </c>
      <c r="H38">
        <v>0</v>
      </c>
      <c r="I38">
        <v>0</v>
      </c>
      <c r="J38">
        <v>0</v>
      </c>
      <c r="K38">
        <v>0</v>
      </c>
      <c r="L38">
        <v>0</v>
      </c>
    </row>
    <row r="39" spans="1:12" x14ac:dyDescent="0.25">
      <c r="A39" t="s">
        <v>461</v>
      </c>
      <c r="B39">
        <v>3</v>
      </c>
      <c r="C39">
        <v>1</v>
      </c>
      <c r="D39">
        <v>0</v>
      </c>
      <c r="E39">
        <v>12</v>
      </c>
      <c r="F39">
        <v>11</v>
      </c>
      <c r="G39">
        <v>10</v>
      </c>
      <c r="H39">
        <v>1</v>
      </c>
      <c r="I39">
        <v>1</v>
      </c>
      <c r="J39">
        <v>1</v>
      </c>
      <c r="K39">
        <v>5</v>
      </c>
      <c r="L39">
        <v>0</v>
      </c>
    </row>
    <row r="40" spans="1:12" x14ac:dyDescent="0.25">
      <c r="A40" t="s">
        <v>547</v>
      </c>
      <c r="B40">
        <v>0</v>
      </c>
      <c r="C40">
        <v>0</v>
      </c>
      <c r="D40">
        <v>0</v>
      </c>
      <c r="E40">
        <v>0</v>
      </c>
      <c r="F40">
        <v>4</v>
      </c>
      <c r="G40">
        <v>0</v>
      </c>
      <c r="H40">
        <v>0</v>
      </c>
      <c r="I40">
        <v>0</v>
      </c>
      <c r="J40">
        <v>0</v>
      </c>
      <c r="K40">
        <v>0</v>
      </c>
      <c r="L40">
        <v>0</v>
      </c>
    </row>
    <row r="41" spans="1:12" x14ac:dyDescent="0.25">
      <c r="A41" t="s">
        <v>443</v>
      </c>
      <c r="B41">
        <v>0</v>
      </c>
      <c r="C41">
        <v>0</v>
      </c>
      <c r="D41">
        <v>0</v>
      </c>
      <c r="E41">
        <v>0</v>
      </c>
      <c r="F41">
        <v>0</v>
      </c>
      <c r="G41">
        <v>0</v>
      </c>
      <c r="H41">
        <v>1</v>
      </c>
      <c r="I41">
        <v>0</v>
      </c>
      <c r="J41">
        <v>0</v>
      </c>
      <c r="K41">
        <v>0</v>
      </c>
      <c r="L41">
        <v>0</v>
      </c>
    </row>
    <row r="42" spans="1:12" x14ac:dyDescent="0.25">
      <c r="A42" t="s">
        <v>548</v>
      </c>
      <c r="B42">
        <v>0</v>
      </c>
      <c r="C42">
        <v>0</v>
      </c>
      <c r="D42">
        <v>0</v>
      </c>
      <c r="E42">
        <v>0</v>
      </c>
      <c r="F42">
        <v>1</v>
      </c>
      <c r="G42">
        <v>0</v>
      </c>
      <c r="H42">
        <v>0</v>
      </c>
      <c r="I42">
        <v>0</v>
      </c>
      <c r="J42">
        <v>0</v>
      </c>
      <c r="K42">
        <v>0</v>
      </c>
      <c r="L42">
        <v>0</v>
      </c>
    </row>
    <row r="43" spans="1:12" x14ac:dyDescent="0.25">
      <c r="A43" t="s">
        <v>418</v>
      </c>
      <c r="B43">
        <v>37</v>
      </c>
      <c r="C43">
        <v>0</v>
      </c>
      <c r="D43">
        <v>26</v>
      </c>
      <c r="E43">
        <v>16</v>
      </c>
      <c r="F43">
        <v>17</v>
      </c>
      <c r="G43">
        <v>9</v>
      </c>
      <c r="H43">
        <v>13</v>
      </c>
      <c r="I43">
        <v>12</v>
      </c>
      <c r="J43">
        <v>2</v>
      </c>
      <c r="K43">
        <v>1</v>
      </c>
      <c r="L43">
        <v>0</v>
      </c>
    </row>
    <row r="44" spans="1:12" x14ac:dyDescent="0.25">
      <c r="A44" t="s">
        <v>415</v>
      </c>
      <c r="B44">
        <v>0</v>
      </c>
      <c r="C44">
        <v>0</v>
      </c>
      <c r="D44">
        <v>1</v>
      </c>
      <c r="E44">
        <v>0</v>
      </c>
      <c r="F44">
        <v>0</v>
      </c>
      <c r="G44">
        <v>1</v>
      </c>
      <c r="H44">
        <v>0</v>
      </c>
      <c r="I44">
        <v>0</v>
      </c>
      <c r="J44">
        <v>0</v>
      </c>
      <c r="K44">
        <v>0</v>
      </c>
      <c r="L44">
        <v>0</v>
      </c>
    </row>
    <row r="45" spans="1:12" x14ac:dyDescent="0.25">
      <c r="A45" t="s">
        <v>539</v>
      </c>
      <c r="B45">
        <v>0</v>
      </c>
      <c r="C45">
        <v>0</v>
      </c>
      <c r="D45">
        <v>0</v>
      </c>
      <c r="E45">
        <v>0</v>
      </c>
      <c r="F45">
        <v>1</v>
      </c>
      <c r="G45">
        <v>0</v>
      </c>
      <c r="H45">
        <v>0</v>
      </c>
      <c r="I45">
        <v>0</v>
      </c>
      <c r="J45">
        <v>0</v>
      </c>
      <c r="K45">
        <v>0</v>
      </c>
      <c r="L45">
        <v>0</v>
      </c>
    </row>
    <row r="46" spans="1:12" x14ac:dyDescent="0.25">
      <c r="A46" t="s">
        <v>484</v>
      </c>
      <c r="B46">
        <v>10</v>
      </c>
      <c r="C46">
        <v>0</v>
      </c>
      <c r="D46">
        <v>4</v>
      </c>
      <c r="E46">
        <v>1</v>
      </c>
      <c r="F46">
        <v>0</v>
      </c>
      <c r="G46">
        <v>0</v>
      </c>
      <c r="H46">
        <v>15</v>
      </c>
      <c r="I46">
        <v>1</v>
      </c>
      <c r="J46">
        <v>0</v>
      </c>
      <c r="K46">
        <v>0</v>
      </c>
      <c r="L46">
        <v>0</v>
      </c>
    </row>
    <row r="47" spans="1:12" x14ac:dyDescent="0.25">
      <c r="A47" t="s">
        <v>511</v>
      </c>
      <c r="B47">
        <v>0</v>
      </c>
      <c r="C47">
        <v>0</v>
      </c>
      <c r="D47">
        <v>8</v>
      </c>
      <c r="E47">
        <v>0</v>
      </c>
      <c r="F47">
        <v>0</v>
      </c>
      <c r="G47">
        <v>0</v>
      </c>
      <c r="H47">
        <v>9</v>
      </c>
      <c r="I47">
        <v>0</v>
      </c>
      <c r="J47">
        <v>0</v>
      </c>
      <c r="K47">
        <v>3</v>
      </c>
      <c r="L47">
        <v>0</v>
      </c>
    </row>
    <row r="48" spans="1:12" x14ac:dyDescent="0.25">
      <c r="A48" t="s">
        <v>474</v>
      </c>
      <c r="B48">
        <v>6</v>
      </c>
      <c r="C48">
        <v>1</v>
      </c>
      <c r="D48">
        <v>0</v>
      </c>
      <c r="E48">
        <v>3</v>
      </c>
      <c r="F48">
        <v>1</v>
      </c>
      <c r="G48">
        <v>1</v>
      </c>
      <c r="H48">
        <v>0</v>
      </c>
      <c r="I48">
        <v>2</v>
      </c>
      <c r="J48">
        <v>1</v>
      </c>
      <c r="K48">
        <v>0</v>
      </c>
      <c r="L48">
        <v>0</v>
      </c>
    </row>
    <row r="49" spans="1:12" x14ac:dyDescent="0.25">
      <c r="A49" t="s">
        <v>483</v>
      </c>
      <c r="B49">
        <v>3</v>
      </c>
      <c r="C49">
        <v>11</v>
      </c>
      <c r="D49">
        <v>2</v>
      </c>
      <c r="E49">
        <v>10</v>
      </c>
      <c r="F49">
        <v>3</v>
      </c>
      <c r="G49">
        <v>13</v>
      </c>
      <c r="H49">
        <v>9</v>
      </c>
      <c r="I49">
        <v>108</v>
      </c>
      <c r="J49">
        <v>62</v>
      </c>
      <c r="K49">
        <v>110</v>
      </c>
      <c r="L49">
        <v>1</v>
      </c>
    </row>
    <row r="50" spans="1:12" x14ac:dyDescent="0.25">
      <c r="A50" t="s">
        <v>525</v>
      </c>
      <c r="B50">
        <v>2</v>
      </c>
      <c r="C50">
        <v>0</v>
      </c>
      <c r="D50">
        <v>0</v>
      </c>
      <c r="E50">
        <v>0</v>
      </c>
      <c r="F50">
        <v>0</v>
      </c>
      <c r="G50">
        <v>0</v>
      </c>
      <c r="H50">
        <v>0</v>
      </c>
      <c r="I50">
        <v>0</v>
      </c>
      <c r="J50">
        <v>0</v>
      </c>
      <c r="K50">
        <v>0</v>
      </c>
      <c r="L50">
        <v>0</v>
      </c>
    </row>
    <row r="51" spans="1:12" x14ac:dyDescent="0.25">
      <c r="A51" t="s">
        <v>386</v>
      </c>
      <c r="B51">
        <v>6</v>
      </c>
      <c r="C51">
        <v>0</v>
      </c>
      <c r="D51">
        <v>2</v>
      </c>
      <c r="E51">
        <v>27</v>
      </c>
      <c r="F51">
        <v>28</v>
      </c>
      <c r="G51">
        <v>17</v>
      </c>
      <c r="H51">
        <v>13</v>
      </c>
      <c r="I51">
        <v>3</v>
      </c>
      <c r="J51">
        <v>0</v>
      </c>
      <c r="K51">
        <v>0</v>
      </c>
      <c r="L51">
        <v>0</v>
      </c>
    </row>
    <row r="52" spans="1:12" x14ac:dyDescent="0.25">
      <c r="A52" t="s">
        <v>392</v>
      </c>
      <c r="B52">
        <v>4</v>
      </c>
      <c r="C52">
        <v>0</v>
      </c>
      <c r="D52">
        <v>0</v>
      </c>
      <c r="E52">
        <v>4</v>
      </c>
      <c r="F52">
        <v>0</v>
      </c>
      <c r="G52">
        <v>11</v>
      </c>
      <c r="H52">
        <v>0</v>
      </c>
      <c r="I52">
        <v>1</v>
      </c>
      <c r="J52">
        <v>0</v>
      </c>
      <c r="K52">
        <v>0</v>
      </c>
      <c r="L52">
        <v>0</v>
      </c>
    </row>
    <row r="53" spans="1:12" x14ac:dyDescent="0.25">
      <c r="A53" t="s">
        <v>390</v>
      </c>
      <c r="B53">
        <v>3</v>
      </c>
      <c r="C53">
        <v>0</v>
      </c>
      <c r="D53">
        <v>0</v>
      </c>
      <c r="E53">
        <v>3</v>
      </c>
      <c r="F53">
        <v>0</v>
      </c>
      <c r="G53">
        <v>2</v>
      </c>
      <c r="H53">
        <v>0</v>
      </c>
      <c r="I53">
        <v>0</v>
      </c>
      <c r="J53">
        <v>0</v>
      </c>
      <c r="K53">
        <v>0</v>
      </c>
      <c r="L53">
        <v>0</v>
      </c>
    </row>
    <row r="54" spans="1:12" x14ac:dyDescent="0.25">
      <c r="A54" t="s">
        <v>419</v>
      </c>
      <c r="B54">
        <v>0</v>
      </c>
      <c r="C54">
        <v>0</v>
      </c>
      <c r="D54">
        <v>2</v>
      </c>
      <c r="E54">
        <v>5</v>
      </c>
      <c r="F54">
        <v>5</v>
      </c>
      <c r="G54">
        <v>1</v>
      </c>
      <c r="H54">
        <v>1</v>
      </c>
      <c r="I54">
        <v>0</v>
      </c>
      <c r="J54">
        <v>0</v>
      </c>
      <c r="K54">
        <v>0</v>
      </c>
      <c r="L54">
        <v>0</v>
      </c>
    </row>
    <row r="55" spans="1:12" x14ac:dyDescent="0.25">
      <c r="A55" t="s">
        <v>444</v>
      </c>
      <c r="B55">
        <v>2</v>
      </c>
      <c r="C55">
        <v>0</v>
      </c>
      <c r="D55">
        <v>0</v>
      </c>
      <c r="E55">
        <v>1</v>
      </c>
      <c r="F55">
        <v>20</v>
      </c>
      <c r="G55">
        <v>2</v>
      </c>
      <c r="H55">
        <v>0</v>
      </c>
      <c r="I55">
        <v>0</v>
      </c>
      <c r="J55">
        <v>0</v>
      </c>
      <c r="K55">
        <v>0</v>
      </c>
      <c r="L55">
        <v>1</v>
      </c>
    </row>
    <row r="56" spans="1:12" x14ac:dyDescent="0.25">
      <c r="A56" t="s">
        <v>495</v>
      </c>
      <c r="B56">
        <v>0</v>
      </c>
      <c r="C56">
        <v>0</v>
      </c>
      <c r="D56">
        <v>0</v>
      </c>
      <c r="E56">
        <v>2</v>
      </c>
      <c r="F56">
        <v>0</v>
      </c>
      <c r="G56">
        <v>0</v>
      </c>
      <c r="H56">
        <v>0</v>
      </c>
      <c r="I56">
        <v>0</v>
      </c>
      <c r="J56">
        <v>0</v>
      </c>
      <c r="K56">
        <v>0</v>
      </c>
      <c r="L56">
        <v>0</v>
      </c>
    </row>
    <row r="57" spans="1:12" x14ac:dyDescent="0.25">
      <c r="A57" t="s">
        <v>402</v>
      </c>
      <c r="B57">
        <v>1</v>
      </c>
      <c r="C57">
        <v>0</v>
      </c>
      <c r="D57">
        <v>0</v>
      </c>
      <c r="E57">
        <v>1</v>
      </c>
      <c r="F57">
        <v>0</v>
      </c>
      <c r="G57">
        <v>1</v>
      </c>
      <c r="H57">
        <v>1</v>
      </c>
      <c r="I57">
        <v>0</v>
      </c>
      <c r="J57">
        <v>0</v>
      </c>
      <c r="K57">
        <v>0</v>
      </c>
      <c r="L57">
        <v>0</v>
      </c>
    </row>
    <row r="58" spans="1:12" x14ac:dyDescent="0.25">
      <c r="A58" t="s">
        <v>453</v>
      </c>
      <c r="B58">
        <v>0</v>
      </c>
      <c r="C58">
        <v>0</v>
      </c>
      <c r="D58">
        <v>0</v>
      </c>
      <c r="E58">
        <v>0</v>
      </c>
      <c r="F58">
        <v>2</v>
      </c>
      <c r="G58">
        <v>0</v>
      </c>
      <c r="H58">
        <v>0</v>
      </c>
      <c r="I58">
        <v>0</v>
      </c>
      <c r="J58">
        <v>0</v>
      </c>
      <c r="K58">
        <v>0</v>
      </c>
      <c r="L58">
        <v>0</v>
      </c>
    </row>
    <row r="59" spans="1:12" x14ac:dyDescent="0.25">
      <c r="A59" t="s">
        <v>459</v>
      </c>
      <c r="B59">
        <v>2</v>
      </c>
      <c r="C59">
        <v>0</v>
      </c>
      <c r="D59">
        <v>0</v>
      </c>
      <c r="E59">
        <v>6</v>
      </c>
      <c r="F59">
        <v>2</v>
      </c>
      <c r="G59">
        <v>0</v>
      </c>
      <c r="H59">
        <v>0</v>
      </c>
      <c r="I59">
        <v>0</v>
      </c>
      <c r="J59">
        <v>0</v>
      </c>
      <c r="K59">
        <v>0</v>
      </c>
      <c r="L59">
        <v>0</v>
      </c>
    </row>
    <row r="60" spans="1:12" x14ac:dyDescent="0.25">
      <c r="A60" t="s">
        <v>451</v>
      </c>
      <c r="B60">
        <v>0</v>
      </c>
      <c r="C60">
        <v>0</v>
      </c>
      <c r="D60">
        <v>0</v>
      </c>
      <c r="E60">
        <v>1</v>
      </c>
      <c r="F60">
        <v>1</v>
      </c>
      <c r="G60">
        <v>0</v>
      </c>
      <c r="H60">
        <v>0</v>
      </c>
      <c r="I60">
        <v>0</v>
      </c>
      <c r="J60">
        <v>0</v>
      </c>
      <c r="K60">
        <v>0</v>
      </c>
      <c r="L60">
        <v>0</v>
      </c>
    </row>
    <row r="61" spans="1:12" x14ac:dyDescent="0.25">
      <c r="A61" t="s">
        <v>514</v>
      </c>
      <c r="B61">
        <v>0</v>
      </c>
      <c r="C61">
        <v>0</v>
      </c>
      <c r="D61">
        <v>4</v>
      </c>
      <c r="E61">
        <v>0</v>
      </c>
      <c r="F61">
        <v>0</v>
      </c>
      <c r="G61">
        <v>0</v>
      </c>
      <c r="H61">
        <v>1</v>
      </c>
      <c r="I61">
        <v>0</v>
      </c>
      <c r="J61">
        <v>0</v>
      </c>
      <c r="K61">
        <v>18</v>
      </c>
      <c r="L61">
        <v>0</v>
      </c>
    </row>
    <row r="62" spans="1:12" x14ac:dyDescent="0.25">
      <c r="A62" t="s">
        <v>488</v>
      </c>
      <c r="B62">
        <v>0</v>
      </c>
      <c r="C62">
        <v>1</v>
      </c>
      <c r="D62">
        <v>0</v>
      </c>
      <c r="E62">
        <v>1</v>
      </c>
      <c r="F62">
        <v>0</v>
      </c>
      <c r="G62">
        <v>0</v>
      </c>
      <c r="H62">
        <v>0</v>
      </c>
      <c r="I62">
        <v>2</v>
      </c>
      <c r="J62">
        <v>0</v>
      </c>
      <c r="K62">
        <v>0</v>
      </c>
      <c r="L62">
        <v>0</v>
      </c>
    </row>
    <row r="63" spans="1:12" x14ac:dyDescent="0.25">
      <c r="A63" t="s">
        <v>482</v>
      </c>
      <c r="B63">
        <v>3</v>
      </c>
      <c r="C63">
        <v>0</v>
      </c>
      <c r="D63">
        <v>3</v>
      </c>
      <c r="E63">
        <v>1</v>
      </c>
      <c r="F63">
        <v>0</v>
      </c>
      <c r="G63">
        <v>1</v>
      </c>
      <c r="H63">
        <v>0</v>
      </c>
      <c r="I63">
        <v>2</v>
      </c>
      <c r="J63">
        <v>0</v>
      </c>
      <c r="K63">
        <v>3</v>
      </c>
      <c r="L63">
        <v>0</v>
      </c>
    </row>
    <row r="64" spans="1:12" x14ac:dyDescent="0.25">
      <c r="A64" t="s">
        <v>432</v>
      </c>
      <c r="B64">
        <v>28</v>
      </c>
      <c r="C64">
        <v>0</v>
      </c>
      <c r="D64">
        <v>8</v>
      </c>
      <c r="E64">
        <v>8</v>
      </c>
      <c r="F64">
        <v>0</v>
      </c>
      <c r="G64">
        <v>14</v>
      </c>
      <c r="H64">
        <v>3</v>
      </c>
      <c r="I64">
        <v>13</v>
      </c>
      <c r="J64">
        <v>1</v>
      </c>
      <c r="K64">
        <v>1</v>
      </c>
      <c r="L64">
        <v>0</v>
      </c>
    </row>
    <row r="65" spans="1:12" x14ac:dyDescent="0.25">
      <c r="A65" t="s">
        <v>551</v>
      </c>
      <c r="B65">
        <v>0</v>
      </c>
      <c r="C65">
        <v>0</v>
      </c>
      <c r="D65">
        <v>0</v>
      </c>
      <c r="E65">
        <v>0</v>
      </c>
      <c r="F65">
        <v>0</v>
      </c>
      <c r="G65">
        <v>0</v>
      </c>
      <c r="H65">
        <v>0</v>
      </c>
      <c r="I65">
        <v>0</v>
      </c>
      <c r="J65">
        <v>0</v>
      </c>
      <c r="K65">
        <v>0</v>
      </c>
      <c r="L65">
        <v>1</v>
      </c>
    </row>
    <row r="66" spans="1:12" x14ac:dyDescent="0.25">
      <c r="A66" t="s">
        <v>515</v>
      </c>
      <c r="B66">
        <v>6</v>
      </c>
      <c r="C66">
        <v>0</v>
      </c>
      <c r="D66">
        <v>2</v>
      </c>
      <c r="E66">
        <v>0</v>
      </c>
      <c r="F66">
        <v>1</v>
      </c>
      <c r="G66">
        <v>0</v>
      </c>
      <c r="H66">
        <v>19</v>
      </c>
      <c r="I66">
        <v>3</v>
      </c>
      <c r="J66">
        <v>2</v>
      </c>
      <c r="K66">
        <v>0</v>
      </c>
      <c r="L66">
        <v>0</v>
      </c>
    </row>
    <row r="67" spans="1:12" x14ac:dyDescent="0.25">
      <c r="A67" t="s">
        <v>396</v>
      </c>
      <c r="B67">
        <v>2</v>
      </c>
      <c r="C67">
        <v>2</v>
      </c>
      <c r="D67">
        <v>1</v>
      </c>
      <c r="E67">
        <v>3</v>
      </c>
      <c r="F67">
        <v>0</v>
      </c>
      <c r="G67">
        <v>3</v>
      </c>
      <c r="H67">
        <v>2</v>
      </c>
      <c r="I67">
        <v>0</v>
      </c>
      <c r="J67">
        <v>2</v>
      </c>
      <c r="K67">
        <v>0</v>
      </c>
      <c r="L67">
        <v>0</v>
      </c>
    </row>
    <row r="68" spans="1:12" x14ac:dyDescent="0.25">
      <c r="A68" t="s">
        <v>527</v>
      </c>
      <c r="B68">
        <v>0</v>
      </c>
      <c r="C68">
        <v>0</v>
      </c>
      <c r="D68">
        <v>2</v>
      </c>
      <c r="E68">
        <v>0</v>
      </c>
      <c r="F68">
        <v>0</v>
      </c>
      <c r="G68">
        <v>0</v>
      </c>
      <c r="H68">
        <v>0</v>
      </c>
      <c r="I68">
        <v>1</v>
      </c>
      <c r="J68">
        <v>0</v>
      </c>
      <c r="K68">
        <v>0</v>
      </c>
      <c r="L68">
        <v>0</v>
      </c>
    </row>
    <row r="69" spans="1:12" x14ac:dyDescent="0.25">
      <c r="A69" t="s">
        <v>544</v>
      </c>
      <c r="B69">
        <v>0</v>
      </c>
      <c r="C69">
        <v>0</v>
      </c>
      <c r="D69">
        <v>0</v>
      </c>
      <c r="E69">
        <v>0</v>
      </c>
      <c r="F69">
        <v>8</v>
      </c>
      <c r="G69">
        <v>0</v>
      </c>
      <c r="H69">
        <v>0</v>
      </c>
      <c r="I69">
        <v>0</v>
      </c>
      <c r="J69">
        <v>0</v>
      </c>
      <c r="K69">
        <v>0</v>
      </c>
      <c r="L69">
        <v>0</v>
      </c>
    </row>
    <row r="70" spans="1:12" x14ac:dyDescent="0.25">
      <c r="A70" t="s">
        <v>479</v>
      </c>
      <c r="B70">
        <v>0</v>
      </c>
      <c r="C70">
        <v>0</v>
      </c>
      <c r="D70">
        <v>0</v>
      </c>
      <c r="E70">
        <v>3</v>
      </c>
      <c r="F70">
        <v>0</v>
      </c>
      <c r="G70">
        <v>1</v>
      </c>
      <c r="H70">
        <v>0</v>
      </c>
      <c r="I70">
        <v>0</v>
      </c>
      <c r="J70">
        <v>0</v>
      </c>
      <c r="K70">
        <v>0</v>
      </c>
      <c r="L70">
        <v>0</v>
      </c>
    </row>
    <row r="71" spans="1:12" x14ac:dyDescent="0.25">
      <c r="A71" t="s">
        <v>420</v>
      </c>
      <c r="B71">
        <v>0</v>
      </c>
      <c r="C71">
        <v>0</v>
      </c>
      <c r="D71">
        <v>0</v>
      </c>
      <c r="E71">
        <v>0</v>
      </c>
      <c r="F71">
        <v>2</v>
      </c>
      <c r="G71">
        <v>1</v>
      </c>
      <c r="H71">
        <v>0</v>
      </c>
      <c r="I71">
        <v>0</v>
      </c>
      <c r="J71">
        <v>0</v>
      </c>
      <c r="K71">
        <v>0</v>
      </c>
      <c r="L71">
        <v>0</v>
      </c>
    </row>
    <row r="72" spans="1:12" x14ac:dyDescent="0.25">
      <c r="A72" t="s">
        <v>403</v>
      </c>
      <c r="B72">
        <v>1</v>
      </c>
      <c r="C72">
        <v>0</v>
      </c>
      <c r="D72">
        <v>0</v>
      </c>
      <c r="E72">
        <v>1</v>
      </c>
      <c r="F72">
        <v>6</v>
      </c>
      <c r="G72">
        <v>0</v>
      </c>
      <c r="H72">
        <v>0</v>
      </c>
      <c r="I72">
        <v>2</v>
      </c>
      <c r="J72">
        <v>0</v>
      </c>
      <c r="K72">
        <v>0</v>
      </c>
      <c r="L72">
        <v>0</v>
      </c>
    </row>
    <row r="73" spans="1:12" x14ac:dyDescent="0.25">
      <c r="A73" t="s">
        <v>438</v>
      </c>
      <c r="B73">
        <v>40</v>
      </c>
      <c r="C73">
        <v>2</v>
      </c>
      <c r="D73">
        <v>35</v>
      </c>
      <c r="E73">
        <v>26</v>
      </c>
      <c r="F73">
        <v>0</v>
      </c>
      <c r="G73">
        <v>37</v>
      </c>
      <c r="H73">
        <v>20</v>
      </c>
      <c r="I73">
        <v>5</v>
      </c>
      <c r="J73">
        <v>2</v>
      </c>
      <c r="K73">
        <v>0</v>
      </c>
      <c r="L73">
        <v>0</v>
      </c>
    </row>
    <row r="74" spans="1:12" x14ac:dyDescent="0.25">
      <c r="A74" t="s">
        <v>423</v>
      </c>
      <c r="B74">
        <v>1</v>
      </c>
      <c r="C74">
        <v>0</v>
      </c>
      <c r="D74">
        <v>4</v>
      </c>
      <c r="E74">
        <v>5</v>
      </c>
      <c r="F74">
        <v>26</v>
      </c>
      <c r="G74">
        <v>13</v>
      </c>
      <c r="H74">
        <v>8</v>
      </c>
      <c r="I74">
        <v>0</v>
      </c>
      <c r="J74">
        <v>0</v>
      </c>
      <c r="K74">
        <v>0</v>
      </c>
      <c r="L74">
        <v>15</v>
      </c>
    </row>
    <row r="75" spans="1:12" x14ac:dyDescent="0.25">
      <c r="A75" t="s">
        <v>519</v>
      </c>
      <c r="B75">
        <v>0</v>
      </c>
      <c r="C75">
        <v>0</v>
      </c>
      <c r="D75">
        <v>0</v>
      </c>
      <c r="E75">
        <v>0</v>
      </c>
      <c r="F75">
        <v>0</v>
      </c>
      <c r="G75">
        <v>0</v>
      </c>
      <c r="H75">
        <v>1</v>
      </c>
      <c r="I75">
        <v>0</v>
      </c>
      <c r="J75">
        <v>0</v>
      </c>
      <c r="K75">
        <v>0</v>
      </c>
      <c r="L75">
        <v>0</v>
      </c>
    </row>
    <row r="76" spans="1:12" x14ac:dyDescent="0.25">
      <c r="A76" t="s">
        <v>503</v>
      </c>
      <c r="B76">
        <v>1</v>
      </c>
      <c r="C76">
        <v>0</v>
      </c>
      <c r="D76">
        <v>0</v>
      </c>
      <c r="E76">
        <v>0</v>
      </c>
      <c r="F76">
        <v>0</v>
      </c>
      <c r="G76">
        <v>0</v>
      </c>
      <c r="H76">
        <v>0</v>
      </c>
      <c r="I76">
        <v>0</v>
      </c>
      <c r="J76">
        <v>0</v>
      </c>
      <c r="K76">
        <v>0</v>
      </c>
      <c r="L76">
        <v>0</v>
      </c>
    </row>
    <row r="77" spans="1:12" x14ac:dyDescent="0.25">
      <c r="A77" t="s">
        <v>516</v>
      </c>
      <c r="B77">
        <v>0</v>
      </c>
      <c r="C77">
        <v>0</v>
      </c>
      <c r="D77">
        <v>0</v>
      </c>
      <c r="E77">
        <v>0</v>
      </c>
      <c r="F77">
        <v>0</v>
      </c>
      <c r="G77">
        <v>0</v>
      </c>
      <c r="H77">
        <v>0</v>
      </c>
      <c r="I77">
        <v>3</v>
      </c>
      <c r="J77">
        <v>0</v>
      </c>
      <c r="K77">
        <v>2</v>
      </c>
      <c r="L77">
        <v>0</v>
      </c>
    </row>
    <row r="78" spans="1:12" x14ac:dyDescent="0.25">
      <c r="A78" t="s">
        <v>505</v>
      </c>
      <c r="B78">
        <v>0</v>
      </c>
      <c r="C78">
        <v>0</v>
      </c>
      <c r="D78">
        <v>0</v>
      </c>
      <c r="E78">
        <v>1</v>
      </c>
      <c r="F78">
        <v>0</v>
      </c>
      <c r="G78">
        <v>0</v>
      </c>
      <c r="H78">
        <v>0</v>
      </c>
      <c r="I78">
        <v>0</v>
      </c>
      <c r="J78">
        <v>0</v>
      </c>
      <c r="K78">
        <v>0</v>
      </c>
      <c r="L78">
        <v>0</v>
      </c>
    </row>
    <row r="79" spans="1:12" x14ac:dyDescent="0.25">
      <c r="A79" t="s">
        <v>517</v>
      </c>
      <c r="B79">
        <v>0</v>
      </c>
      <c r="C79">
        <v>0</v>
      </c>
      <c r="D79">
        <v>0</v>
      </c>
      <c r="E79">
        <v>0</v>
      </c>
      <c r="F79">
        <v>0</v>
      </c>
      <c r="G79">
        <v>0</v>
      </c>
      <c r="H79">
        <v>7</v>
      </c>
      <c r="I79">
        <v>0</v>
      </c>
      <c r="J79">
        <v>0</v>
      </c>
      <c r="K79">
        <v>0</v>
      </c>
      <c r="L79">
        <v>0</v>
      </c>
    </row>
    <row r="80" spans="1:12" x14ac:dyDescent="0.25">
      <c r="A80" t="s">
        <v>490</v>
      </c>
      <c r="B80">
        <v>0</v>
      </c>
      <c r="C80">
        <v>0</v>
      </c>
      <c r="D80">
        <v>2</v>
      </c>
      <c r="E80">
        <v>3</v>
      </c>
      <c r="F80">
        <v>2</v>
      </c>
      <c r="G80">
        <v>0</v>
      </c>
      <c r="H80">
        <v>0</v>
      </c>
      <c r="I80">
        <v>0</v>
      </c>
      <c r="J80">
        <v>0</v>
      </c>
      <c r="K80">
        <v>0</v>
      </c>
      <c r="L80">
        <v>0</v>
      </c>
    </row>
    <row r="81" spans="1:12" x14ac:dyDescent="0.25">
      <c r="A81" t="s">
        <v>462</v>
      </c>
      <c r="B81">
        <v>0</v>
      </c>
      <c r="C81">
        <v>0</v>
      </c>
      <c r="D81">
        <v>0</v>
      </c>
      <c r="E81">
        <v>0</v>
      </c>
      <c r="F81">
        <v>0</v>
      </c>
      <c r="G81">
        <v>1</v>
      </c>
      <c r="H81">
        <v>0</v>
      </c>
      <c r="I81">
        <v>0</v>
      </c>
      <c r="J81">
        <v>2</v>
      </c>
      <c r="K81">
        <v>0</v>
      </c>
      <c r="L81">
        <v>0</v>
      </c>
    </row>
    <row r="82" spans="1:12" x14ac:dyDescent="0.25">
      <c r="A82" t="s">
        <v>442</v>
      </c>
      <c r="B82">
        <v>60</v>
      </c>
      <c r="C82">
        <v>21</v>
      </c>
      <c r="D82">
        <v>94</v>
      </c>
      <c r="E82">
        <v>12</v>
      </c>
      <c r="F82">
        <v>8</v>
      </c>
      <c r="G82">
        <v>57</v>
      </c>
      <c r="H82">
        <v>96</v>
      </c>
      <c r="I82">
        <v>119</v>
      </c>
      <c r="J82">
        <v>40</v>
      </c>
      <c r="K82">
        <v>10</v>
      </c>
      <c r="L82">
        <v>1</v>
      </c>
    </row>
    <row r="83" spans="1:12" x14ac:dyDescent="0.25">
      <c r="A83" t="s">
        <v>477</v>
      </c>
      <c r="B83">
        <v>0</v>
      </c>
      <c r="C83">
        <v>0</v>
      </c>
      <c r="D83">
        <v>0</v>
      </c>
      <c r="E83">
        <v>0</v>
      </c>
      <c r="F83">
        <v>0</v>
      </c>
      <c r="G83">
        <v>1</v>
      </c>
      <c r="H83">
        <v>0</v>
      </c>
      <c r="I83">
        <v>0</v>
      </c>
      <c r="J83">
        <v>0</v>
      </c>
      <c r="K83">
        <v>0</v>
      </c>
      <c r="L83">
        <v>0</v>
      </c>
    </row>
    <row r="84" spans="1:12" x14ac:dyDescent="0.25">
      <c r="A84" t="s">
        <v>538</v>
      </c>
      <c r="B84">
        <v>0</v>
      </c>
      <c r="C84">
        <v>0</v>
      </c>
      <c r="D84">
        <v>0</v>
      </c>
      <c r="E84">
        <v>0</v>
      </c>
      <c r="F84">
        <v>2</v>
      </c>
      <c r="G84">
        <v>0</v>
      </c>
      <c r="H84">
        <v>0</v>
      </c>
      <c r="I84">
        <v>0</v>
      </c>
      <c r="J84">
        <v>0</v>
      </c>
      <c r="K84">
        <v>0</v>
      </c>
      <c r="L84">
        <v>0</v>
      </c>
    </row>
    <row r="85" spans="1:12" x14ac:dyDescent="0.25">
      <c r="A85" t="s">
        <v>494</v>
      </c>
      <c r="B85">
        <v>0</v>
      </c>
      <c r="C85">
        <v>0</v>
      </c>
      <c r="D85">
        <v>0</v>
      </c>
      <c r="E85">
        <v>2</v>
      </c>
      <c r="F85">
        <v>0</v>
      </c>
      <c r="G85">
        <v>0</v>
      </c>
      <c r="H85">
        <v>0</v>
      </c>
      <c r="I85">
        <v>0</v>
      </c>
      <c r="J85">
        <v>0</v>
      </c>
      <c r="K85">
        <v>0</v>
      </c>
      <c r="L85">
        <v>0</v>
      </c>
    </row>
    <row r="86" spans="1:12" x14ac:dyDescent="0.25">
      <c r="A86" t="s">
        <v>389</v>
      </c>
      <c r="B86">
        <v>1</v>
      </c>
      <c r="C86">
        <v>0</v>
      </c>
      <c r="D86">
        <v>1</v>
      </c>
      <c r="E86">
        <v>2</v>
      </c>
      <c r="F86">
        <v>0</v>
      </c>
      <c r="G86">
        <v>1</v>
      </c>
      <c r="H86">
        <v>0</v>
      </c>
      <c r="I86">
        <v>0</v>
      </c>
      <c r="J86">
        <v>0</v>
      </c>
      <c r="K86">
        <v>0</v>
      </c>
      <c r="L86">
        <v>0</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39"/>
  <sheetViews>
    <sheetView workbookViewId="0"/>
  </sheetViews>
  <sheetFormatPr defaultColWidth="11.42578125" defaultRowHeight="15" x14ac:dyDescent="0.25"/>
  <cols>
    <col min="2" max="2" width="18.7109375" customWidth="1"/>
    <col min="3" max="3" width="12.7109375" customWidth="1"/>
    <col min="4" max="4" width="14.7109375" customWidth="1"/>
    <col min="5" max="6" width="17.7109375" customWidth="1"/>
    <col min="7" max="7" width="16.7109375" customWidth="1"/>
    <col min="8" max="8" width="27.7109375" customWidth="1"/>
    <col min="9" max="9" width="31.7109375" customWidth="1"/>
    <col min="10" max="10" width="9.7109375" customWidth="1"/>
    <col min="11" max="11" width="10.7109375" customWidth="1"/>
    <col min="12" max="12" width="12.7109375" customWidth="1"/>
    <col min="13" max="13" width="5.7109375" customWidth="1"/>
    <col min="14" max="14" width="30.7109375" customWidth="1"/>
  </cols>
  <sheetData>
    <row r="1" spans="1:14" x14ac:dyDescent="0.25">
      <c r="A1" t="s">
        <v>6</v>
      </c>
      <c r="B1" t="s">
        <v>10</v>
      </c>
      <c r="C1" t="s">
        <v>12</v>
      </c>
      <c r="D1" t="s">
        <v>302</v>
      </c>
      <c r="E1" t="s">
        <v>304</v>
      </c>
      <c r="F1" t="s">
        <v>383</v>
      </c>
      <c r="G1" t="s">
        <v>306</v>
      </c>
      <c r="H1" t="s">
        <v>308</v>
      </c>
      <c r="I1" t="s">
        <v>300</v>
      </c>
      <c r="J1" t="s">
        <v>310</v>
      </c>
      <c r="K1" t="s">
        <v>312</v>
      </c>
      <c r="L1" t="s">
        <v>314</v>
      </c>
      <c r="M1" t="s">
        <v>316</v>
      </c>
      <c r="N1" t="s">
        <v>318</v>
      </c>
    </row>
    <row r="2" spans="1:14" x14ac:dyDescent="0.25">
      <c r="A2">
        <v>215065</v>
      </c>
      <c r="B2" t="s">
        <v>342</v>
      </c>
      <c r="C2" t="s">
        <v>343</v>
      </c>
      <c r="D2" t="s">
        <v>384</v>
      </c>
      <c r="E2" t="s">
        <v>385</v>
      </c>
      <c r="F2" t="s">
        <v>8</v>
      </c>
      <c r="G2" t="s">
        <v>386</v>
      </c>
      <c r="H2" t="s">
        <v>8</v>
      </c>
      <c r="I2" t="s">
        <v>386</v>
      </c>
      <c r="J2" t="s">
        <v>387</v>
      </c>
      <c r="K2">
        <v>30</v>
      </c>
      <c r="L2">
        <v>0</v>
      </c>
      <c r="M2" t="s">
        <v>9</v>
      </c>
      <c r="N2" t="s">
        <v>386</v>
      </c>
    </row>
    <row r="3" spans="1:14" x14ac:dyDescent="0.25">
      <c r="A3">
        <v>215065</v>
      </c>
      <c r="B3" t="s">
        <v>342</v>
      </c>
      <c r="C3" t="s">
        <v>343</v>
      </c>
      <c r="D3" t="s">
        <v>384</v>
      </c>
      <c r="E3" t="s">
        <v>385</v>
      </c>
      <c r="F3" t="s">
        <v>8</v>
      </c>
      <c r="G3" t="s">
        <v>388</v>
      </c>
      <c r="H3" t="s">
        <v>389</v>
      </c>
      <c r="I3" t="s">
        <v>389</v>
      </c>
      <c r="J3" t="s">
        <v>387</v>
      </c>
      <c r="K3">
        <v>1</v>
      </c>
      <c r="L3">
        <v>0</v>
      </c>
      <c r="M3" t="s">
        <v>9</v>
      </c>
      <c r="N3" t="s">
        <v>389</v>
      </c>
    </row>
    <row r="4" spans="1:14" x14ac:dyDescent="0.25">
      <c r="A4">
        <v>215065</v>
      </c>
      <c r="B4" t="s">
        <v>342</v>
      </c>
      <c r="C4" t="s">
        <v>343</v>
      </c>
      <c r="D4" t="s">
        <v>384</v>
      </c>
      <c r="E4" t="s">
        <v>385</v>
      </c>
      <c r="F4" t="s">
        <v>8</v>
      </c>
      <c r="G4" t="s">
        <v>386</v>
      </c>
      <c r="H4" t="s">
        <v>390</v>
      </c>
      <c r="I4" t="s">
        <v>390</v>
      </c>
      <c r="J4" t="s">
        <v>391</v>
      </c>
      <c r="K4">
        <v>4</v>
      </c>
      <c r="L4">
        <v>0</v>
      </c>
      <c r="M4" t="s">
        <v>9</v>
      </c>
      <c r="N4" t="s">
        <v>390</v>
      </c>
    </row>
    <row r="5" spans="1:14" x14ac:dyDescent="0.25">
      <c r="A5">
        <v>215065</v>
      </c>
      <c r="B5" t="s">
        <v>342</v>
      </c>
      <c r="C5" t="s">
        <v>343</v>
      </c>
      <c r="D5" t="s">
        <v>384</v>
      </c>
      <c r="E5" t="s">
        <v>385</v>
      </c>
      <c r="F5" t="s">
        <v>8</v>
      </c>
      <c r="G5" t="s">
        <v>386</v>
      </c>
      <c r="H5" t="s">
        <v>392</v>
      </c>
      <c r="I5" t="s">
        <v>392</v>
      </c>
      <c r="J5" t="s">
        <v>391</v>
      </c>
      <c r="K5">
        <v>16</v>
      </c>
      <c r="L5">
        <v>0</v>
      </c>
      <c r="M5" t="s">
        <v>9</v>
      </c>
      <c r="N5" t="s">
        <v>392</v>
      </c>
    </row>
    <row r="6" spans="1:14" x14ac:dyDescent="0.25">
      <c r="A6">
        <v>215065</v>
      </c>
      <c r="B6" t="s">
        <v>342</v>
      </c>
      <c r="C6" t="s">
        <v>343</v>
      </c>
      <c r="D6" t="s">
        <v>393</v>
      </c>
      <c r="E6" t="s">
        <v>394</v>
      </c>
      <c r="F6" t="s">
        <v>395</v>
      </c>
      <c r="G6" t="s">
        <v>396</v>
      </c>
      <c r="H6" t="s">
        <v>8</v>
      </c>
      <c r="I6" t="s">
        <v>396</v>
      </c>
      <c r="J6" t="s">
        <v>387</v>
      </c>
      <c r="K6">
        <v>6</v>
      </c>
      <c r="L6">
        <v>0</v>
      </c>
      <c r="M6" t="s">
        <v>9</v>
      </c>
      <c r="N6" t="s">
        <v>396</v>
      </c>
    </row>
    <row r="7" spans="1:14" x14ac:dyDescent="0.25">
      <c r="A7">
        <v>215065</v>
      </c>
      <c r="B7" t="s">
        <v>342</v>
      </c>
      <c r="C7" t="s">
        <v>343</v>
      </c>
      <c r="D7" t="s">
        <v>393</v>
      </c>
      <c r="E7" t="s">
        <v>397</v>
      </c>
      <c r="F7" t="s">
        <v>8</v>
      </c>
      <c r="G7" t="s">
        <v>8</v>
      </c>
      <c r="H7" t="s">
        <v>8</v>
      </c>
      <c r="I7" t="s">
        <v>397</v>
      </c>
      <c r="J7" t="s">
        <v>398</v>
      </c>
      <c r="K7">
        <v>5</v>
      </c>
      <c r="L7">
        <v>0</v>
      </c>
      <c r="M7" t="s">
        <v>9</v>
      </c>
      <c r="N7" t="s">
        <v>397</v>
      </c>
    </row>
    <row r="8" spans="1:14" x14ac:dyDescent="0.25">
      <c r="A8">
        <v>215065</v>
      </c>
      <c r="B8" t="s">
        <v>342</v>
      </c>
      <c r="C8" t="s">
        <v>343</v>
      </c>
      <c r="D8" t="s">
        <v>393</v>
      </c>
      <c r="E8" t="s">
        <v>397</v>
      </c>
      <c r="F8" t="s">
        <v>399</v>
      </c>
      <c r="G8" t="s">
        <v>400</v>
      </c>
      <c r="H8" t="s">
        <v>8</v>
      </c>
      <c r="I8" t="s">
        <v>400</v>
      </c>
      <c r="J8" t="s">
        <v>387</v>
      </c>
      <c r="K8">
        <v>1</v>
      </c>
      <c r="L8">
        <v>0</v>
      </c>
      <c r="M8" t="s">
        <v>9</v>
      </c>
      <c r="N8" t="s">
        <v>8</v>
      </c>
    </row>
    <row r="9" spans="1:14" x14ac:dyDescent="0.25">
      <c r="A9">
        <v>215065</v>
      </c>
      <c r="B9" t="s">
        <v>342</v>
      </c>
      <c r="C9" t="s">
        <v>343</v>
      </c>
      <c r="D9" t="s">
        <v>393</v>
      </c>
      <c r="E9" t="s">
        <v>397</v>
      </c>
      <c r="F9" t="s">
        <v>401</v>
      </c>
      <c r="G9" t="s">
        <v>402</v>
      </c>
      <c r="H9" t="s">
        <v>8</v>
      </c>
      <c r="I9" t="s">
        <v>402</v>
      </c>
      <c r="J9" t="s">
        <v>387</v>
      </c>
      <c r="K9">
        <v>3</v>
      </c>
      <c r="L9">
        <v>0</v>
      </c>
      <c r="M9" t="s">
        <v>9</v>
      </c>
      <c r="N9" t="s">
        <v>402</v>
      </c>
    </row>
    <row r="10" spans="1:14" x14ac:dyDescent="0.25">
      <c r="A10">
        <v>215065</v>
      </c>
      <c r="B10" t="s">
        <v>342</v>
      </c>
      <c r="C10" t="s">
        <v>343</v>
      </c>
      <c r="D10" t="s">
        <v>393</v>
      </c>
      <c r="E10" t="s">
        <v>397</v>
      </c>
      <c r="F10" t="s">
        <v>399</v>
      </c>
      <c r="G10" t="s">
        <v>403</v>
      </c>
      <c r="H10" t="s">
        <v>8</v>
      </c>
      <c r="I10" t="s">
        <v>403</v>
      </c>
      <c r="J10" t="s">
        <v>387</v>
      </c>
      <c r="K10">
        <v>1</v>
      </c>
      <c r="L10">
        <v>0</v>
      </c>
      <c r="M10" t="s">
        <v>9</v>
      </c>
      <c r="N10" t="s">
        <v>403</v>
      </c>
    </row>
    <row r="11" spans="1:14" x14ac:dyDescent="0.25">
      <c r="A11">
        <v>215065</v>
      </c>
      <c r="B11" t="s">
        <v>342</v>
      </c>
      <c r="C11" t="s">
        <v>343</v>
      </c>
      <c r="D11" t="s">
        <v>393</v>
      </c>
      <c r="E11" t="s">
        <v>397</v>
      </c>
      <c r="F11" t="s">
        <v>399</v>
      </c>
      <c r="G11" t="s">
        <v>404</v>
      </c>
      <c r="H11" t="s">
        <v>8</v>
      </c>
      <c r="I11" t="s">
        <v>404</v>
      </c>
      <c r="J11" t="s">
        <v>387</v>
      </c>
      <c r="K11">
        <v>1</v>
      </c>
      <c r="L11">
        <v>0</v>
      </c>
      <c r="M11" t="s">
        <v>9</v>
      </c>
      <c r="N11" t="s">
        <v>8</v>
      </c>
    </row>
    <row r="12" spans="1:14" x14ac:dyDescent="0.25">
      <c r="A12">
        <v>215065</v>
      </c>
      <c r="B12" t="s">
        <v>342</v>
      </c>
      <c r="C12" t="s">
        <v>343</v>
      </c>
      <c r="D12" t="s">
        <v>393</v>
      </c>
      <c r="E12" t="s">
        <v>397</v>
      </c>
      <c r="F12" t="s">
        <v>405</v>
      </c>
      <c r="G12" t="s">
        <v>406</v>
      </c>
      <c r="H12" t="s">
        <v>407</v>
      </c>
      <c r="I12" t="s">
        <v>407</v>
      </c>
      <c r="J12" t="s">
        <v>387</v>
      </c>
      <c r="K12">
        <v>2</v>
      </c>
      <c r="L12">
        <v>0</v>
      </c>
      <c r="M12" t="s">
        <v>9</v>
      </c>
      <c r="N12" t="s">
        <v>407</v>
      </c>
    </row>
    <row r="13" spans="1:14" x14ac:dyDescent="0.25">
      <c r="A13">
        <v>215065</v>
      </c>
      <c r="B13" t="s">
        <v>342</v>
      </c>
      <c r="C13" t="s">
        <v>343</v>
      </c>
      <c r="D13" t="s">
        <v>393</v>
      </c>
      <c r="E13" t="s">
        <v>397</v>
      </c>
      <c r="F13" t="s">
        <v>405</v>
      </c>
      <c r="G13" t="s">
        <v>408</v>
      </c>
      <c r="H13" t="s">
        <v>409</v>
      </c>
      <c r="I13" t="s">
        <v>410</v>
      </c>
      <c r="J13" t="s">
        <v>387</v>
      </c>
      <c r="K13">
        <v>14</v>
      </c>
      <c r="L13">
        <v>0</v>
      </c>
      <c r="M13" t="s">
        <v>9</v>
      </c>
      <c r="N13" t="s">
        <v>410</v>
      </c>
    </row>
    <row r="14" spans="1:14" x14ac:dyDescent="0.25">
      <c r="A14">
        <v>215065</v>
      </c>
      <c r="B14" t="s">
        <v>342</v>
      </c>
      <c r="C14" t="s">
        <v>343</v>
      </c>
      <c r="D14" t="s">
        <v>393</v>
      </c>
      <c r="E14" t="s">
        <v>397</v>
      </c>
      <c r="F14" t="s">
        <v>405</v>
      </c>
      <c r="G14" t="s">
        <v>408</v>
      </c>
      <c r="H14" t="s">
        <v>411</v>
      </c>
      <c r="I14" t="s">
        <v>412</v>
      </c>
      <c r="J14" t="s">
        <v>387</v>
      </c>
      <c r="K14">
        <v>2</v>
      </c>
      <c r="L14">
        <v>0</v>
      </c>
      <c r="M14" t="s">
        <v>9</v>
      </c>
      <c r="N14" t="s">
        <v>412</v>
      </c>
    </row>
    <row r="15" spans="1:14" x14ac:dyDescent="0.25">
      <c r="A15">
        <v>215065</v>
      </c>
      <c r="B15" t="s">
        <v>342</v>
      </c>
      <c r="C15" t="s">
        <v>343</v>
      </c>
      <c r="D15" t="s">
        <v>393</v>
      </c>
      <c r="E15" t="s">
        <v>397</v>
      </c>
      <c r="F15" t="s">
        <v>399</v>
      </c>
      <c r="G15" t="s">
        <v>413</v>
      </c>
      <c r="H15" t="s">
        <v>414</v>
      </c>
      <c r="I15" t="s">
        <v>415</v>
      </c>
      <c r="J15" t="s">
        <v>387</v>
      </c>
      <c r="K15">
        <v>3</v>
      </c>
      <c r="L15">
        <v>0</v>
      </c>
      <c r="M15" t="s">
        <v>9</v>
      </c>
      <c r="N15" t="s">
        <v>415</v>
      </c>
    </row>
    <row r="16" spans="1:14" x14ac:dyDescent="0.25">
      <c r="A16">
        <v>215065</v>
      </c>
      <c r="B16" t="s">
        <v>342</v>
      </c>
      <c r="C16" t="s">
        <v>343</v>
      </c>
      <c r="D16" t="s">
        <v>393</v>
      </c>
      <c r="E16" t="s">
        <v>397</v>
      </c>
      <c r="F16" t="s">
        <v>405</v>
      </c>
      <c r="G16" t="s">
        <v>416</v>
      </c>
      <c r="H16" t="s">
        <v>417</v>
      </c>
      <c r="I16" t="s">
        <v>417</v>
      </c>
      <c r="J16" t="s">
        <v>387</v>
      </c>
      <c r="K16">
        <v>1</v>
      </c>
      <c r="L16">
        <v>0</v>
      </c>
      <c r="M16" t="s">
        <v>9</v>
      </c>
      <c r="N16" t="s">
        <v>417</v>
      </c>
    </row>
    <row r="17" spans="1:14" x14ac:dyDescent="0.25">
      <c r="A17">
        <v>215065</v>
      </c>
      <c r="B17" t="s">
        <v>342</v>
      </c>
      <c r="C17" t="s">
        <v>343</v>
      </c>
      <c r="D17" t="s">
        <v>393</v>
      </c>
      <c r="E17" t="s">
        <v>397</v>
      </c>
      <c r="F17" t="s">
        <v>405</v>
      </c>
      <c r="G17" t="s">
        <v>416</v>
      </c>
      <c r="H17" t="s">
        <v>8</v>
      </c>
      <c r="I17" t="s">
        <v>416</v>
      </c>
      <c r="J17" t="s">
        <v>387</v>
      </c>
      <c r="K17">
        <v>5</v>
      </c>
      <c r="L17">
        <v>0</v>
      </c>
      <c r="M17" t="s">
        <v>9</v>
      </c>
      <c r="N17" t="s">
        <v>416</v>
      </c>
    </row>
    <row r="18" spans="1:14" x14ac:dyDescent="0.25">
      <c r="A18">
        <v>215065</v>
      </c>
      <c r="B18" t="s">
        <v>342</v>
      </c>
      <c r="C18" t="s">
        <v>343</v>
      </c>
      <c r="D18" t="s">
        <v>393</v>
      </c>
      <c r="E18" t="s">
        <v>397</v>
      </c>
      <c r="F18" t="s">
        <v>405</v>
      </c>
      <c r="G18" t="s">
        <v>408</v>
      </c>
      <c r="H18" t="s">
        <v>8</v>
      </c>
      <c r="I18" t="s">
        <v>408</v>
      </c>
      <c r="J18" t="s">
        <v>387</v>
      </c>
      <c r="K18">
        <v>1</v>
      </c>
      <c r="L18">
        <v>0</v>
      </c>
      <c r="M18" t="s">
        <v>9</v>
      </c>
      <c r="N18" t="s">
        <v>408</v>
      </c>
    </row>
    <row r="19" spans="1:14" x14ac:dyDescent="0.25">
      <c r="A19">
        <v>215065</v>
      </c>
      <c r="B19" t="s">
        <v>342</v>
      </c>
      <c r="C19" t="s">
        <v>343</v>
      </c>
      <c r="D19" t="s">
        <v>393</v>
      </c>
      <c r="E19" t="s">
        <v>397</v>
      </c>
      <c r="F19" t="s">
        <v>405</v>
      </c>
      <c r="G19" t="s">
        <v>418</v>
      </c>
      <c r="H19" t="s">
        <v>8</v>
      </c>
      <c r="I19" t="s">
        <v>418</v>
      </c>
      <c r="J19" t="s">
        <v>387</v>
      </c>
      <c r="K19">
        <v>32</v>
      </c>
      <c r="L19">
        <v>0</v>
      </c>
      <c r="M19" t="s">
        <v>9</v>
      </c>
      <c r="N19" t="s">
        <v>418</v>
      </c>
    </row>
    <row r="20" spans="1:14" x14ac:dyDescent="0.25">
      <c r="A20">
        <v>215065</v>
      </c>
      <c r="B20" t="s">
        <v>342</v>
      </c>
      <c r="C20" t="s">
        <v>343</v>
      </c>
      <c r="D20" t="s">
        <v>393</v>
      </c>
      <c r="E20" t="s">
        <v>397</v>
      </c>
      <c r="F20" t="s">
        <v>405</v>
      </c>
      <c r="G20" t="s">
        <v>419</v>
      </c>
      <c r="H20" t="s">
        <v>8</v>
      </c>
      <c r="I20" t="s">
        <v>419</v>
      </c>
      <c r="J20" t="s">
        <v>387</v>
      </c>
      <c r="K20">
        <v>4</v>
      </c>
      <c r="L20">
        <v>0</v>
      </c>
      <c r="M20" t="s">
        <v>9</v>
      </c>
      <c r="N20" t="s">
        <v>419</v>
      </c>
    </row>
    <row r="21" spans="1:14" x14ac:dyDescent="0.25">
      <c r="A21">
        <v>215065</v>
      </c>
      <c r="B21" t="s">
        <v>342</v>
      </c>
      <c r="C21" t="s">
        <v>343</v>
      </c>
      <c r="D21" t="s">
        <v>393</v>
      </c>
      <c r="E21" t="s">
        <v>397</v>
      </c>
      <c r="F21" t="s">
        <v>405</v>
      </c>
      <c r="G21" t="s">
        <v>420</v>
      </c>
      <c r="H21" t="s">
        <v>8</v>
      </c>
      <c r="I21" t="s">
        <v>420</v>
      </c>
      <c r="J21" t="s">
        <v>387</v>
      </c>
      <c r="K21">
        <v>3</v>
      </c>
      <c r="L21">
        <v>0</v>
      </c>
      <c r="M21" t="s">
        <v>9</v>
      </c>
      <c r="N21" t="s">
        <v>420</v>
      </c>
    </row>
    <row r="22" spans="1:14" x14ac:dyDescent="0.25">
      <c r="A22">
        <v>215065</v>
      </c>
      <c r="B22" t="s">
        <v>342</v>
      </c>
      <c r="C22" t="s">
        <v>343</v>
      </c>
      <c r="D22" t="s">
        <v>393</v>
      </c>
      <c r="E22" t="s">
        <v>421</v>
      </c>
      <c r="F22" t="s">
        <v>422</v>
      </c>
      <c r="G22" t="s">
        <v>423</v>
      </c>
      <c r="H22" t="s">
        <v>8</v>
      </c>
      <c r="I22" t="s">
        <v>423</v>
      </c>
      <c r="J22" t="s">
        <v>387</v>
      </c>
      <c r="K22">
        <v>28</v>
      </c>
      <c r="L22">
        <v>0</v>
      </c>
      <c r="M22" t="s">
        <v>9</v>
      </c>
      <c r="N22" t="s">
        <v>423</v>
      </c>
    </row>
    <row r="23" spans="1:14" x14ac:dyDescent="0.25">
      <c r="A23">
        <v>215065</v>
      </c>
      <c r="B23" t="s">
        <v>342</v>
      </c>
      <c r="C23" t="s">
        <v>343</v>
      </c>
      <c r="D23" t="s">
        <v>393</v>
      </c>
      <c r="E23" t="s">
        <v>424</v>
      </c>
      <c r="F23" t="s">
        <v>425</v>
      </c>
      <c r="G23" t="s">
        <v>426</v>
      </c>
      <c r="H23" t="s">
        <v>8</v>
      </c>
      <c r="I23" t="s">
        <v>426</v>
      </c>
      <c r="J23" t="s">
        <v>387</v>
      </c>
      <c r="K23">
        <v>2</v>
      </c>
      <c r="L23">
        <v>0</v>
      </c>
      <c r="M23" t="s">
        <v>9</v>
      </c>
      <c r="N23" t="s">
        <v>426</v>
      </c>
    </row>
    <row r="24" spans="1:14" x14ac:dyDescent="0.25">
      <c r="A24">
        <v>215065</v>
      </c>
      <c r="B24" t="s">
        <v>342</v>
      </c>
      <c r="C24" t="s">
        <v>343</v>
      </c>
      <c r="D24" t="s">
        <v>427</v>
      </c>
      <c r="E24" t="s">
        <v>428</v>
      </c>
      <c r="F24" t="s">
        <v>8</v>
      </c>
      <c r="G24" t="s">
        <v>429</v>
      </c>
      <c r="H24" t="s">
        <v>8</v>
      </c>
      <c r="I24" t="s">
        <v>429</v>
      </c>
      <c r="J24" t="s">
        <v>387</v>
      </c>
      <c r="K24">
        <v>80</v>
      </c>
      <c r="L24">
        <v>0</v>
      </c>
      <c r="M24" t="s">
        <v>9</v>
      </c>
      <c r="N24" t="s">
        <v>429</v>
      </c>
    </row>
    <row r="25" spans="1:14" x14ac:dyDescent="0.25">
      <c r="A25">
        <v>215065</v>
      </c>
      <c r="B25" t="s">
        <v>342</v>
      </c>
      <c r="C25" t="s">
        <v>343</v>
      </c>
      <c r="D25" t="s">
        <v>427</v>
      </c>
      <c r="E25" t="s">
        <v>428</v>
      </c>
      <c r="F25" t="s">
        <v>8</v>
      </c>
      <c r="G25" t="s">
        <v>430</v>
      </c>
      <c r="H25" t="s">
        <v>8</v>
      </c>
      <c r="I25" t="s">
        <v>430</v>
      </c>
      <c r="J25" t="s">
        <v>387</v>
      </c>
      <c r="K25">
        <v>1</v>
      </c>
      <c r="L25">
        <v>0</v>
      </c>
      <c r="M25" t="s">
        <v>9</v>
      </c>
      <c r="N25" t="s">
        <v>430</v>
      </c>
    </row>
    <row r="26" spans="1:14" x14ac:dyDescent="0.25">
      <c r="A26">
        <v>215065</v>
      </c>
      <c r="B26" t="s">
        <v>342</v>
      </c>
      <c r="C26" t="s">
        <v>343</v>
      </c>
      <c r="D26" t="s">
        <v>427</v>
      </c>
      <c r="E26" t="s">
        <v>428</v>
      </c>
      <c r="F26" t="s">
        <v>8</v>
      </c>
      <c r="G26" t="s">
        <v>431</v>
      </c>
      <c r="H26" t="s">
        <v>432</v>
      </c>
      <c r="I26" t="s">
        <v>432</v>
      </c>
      <c r="J26" t="s">
        <v>387</v>
      </c>
      <c r="K26">
        <v>28</v>
      </c>
      <c r="L26">
        <v>0</v>
      </c>
      <c r="M26" t="s">
        <v>9</v>
      </c>
      <c r="N26" t="s">
        <v>432</v>
      </c>
    </row>
    <row r="27" spans="1:14" x14ac:dyDescent="0.25">
      <c r="A27">
        <v>215065</v>
      </c>
      <c r="B27" t="s">
        <v>342</v>
      </c>
      <c r="C27" t="s">
        <v>343</v>
      </c>
      <c r="D27" t="s">
        <v>427</v>
      </c>
      <c r="E27" t="s">
        <v>433</v>
      </c>
      <c r="F27" t="s">
        <v>8</v>
      </c>
      <c r="G27" t="s">
        <v>434</v>
      </c>
      <c r="H27" t="s">
        <v>435</v>
      </c>
      <c r="I27" t="s">
        <v>436</v>
      </c>
      <c r="J27" t="s">
        <v>387</v>
      </c>
      <c r="K27">
        <v>13</v>
      </c>
      <c r="L27">
        <v>0</v>
      </c>
      <c r="M27" t="s">
        <v>9</v>
      </c>
      <c r="N27" t="s">
        <v>437</v>
      </c>
    </row>
    <row r="28" spans="1:14" x14ac:dyDescent="0.25">
      <c r="A28">
        <v>215065</v>
      </c>
      <c r="B28" t="s">
        <v>342</v>
      </c>
      <c r="C28" t="s">
        <v>343</v>
      </c>
      <c r="D28" t="s">
        <v>427</v>
      </c>
      <c r="E28" t="s">
        <v>433</v>
      </c>
      <c r="F28" t="s">
        <v>8</v>
      </c>
      <c r="G28" t="s">
        <v>438</v>
      </c>
      <c r="H28" t="s">
        <v>8</v>
      </c>
      <c r="I28" t="s">
        <v>438</v>
      </c>
      <c r="J28" t="s">
        <v>387</v>
      </c>
      <c r="K28">
        <v>68</v>
      </c>
      <c r="L28">
        <v>0</v>
      </c>
      <c r="M28" t="s">
        <v>9</v>
      </c>
      <c r="N28" t="s">
        <v>438</v>
      </c>
    </row>
    <row r="29" spans="1:14" x14ac:dyDescent="0.25">
      <c r="A29">
        <v>215065</v>
      </c>
      <c r="B29" t="s">
        <v>342</v>
      </c>
      <c r="C29" t="s">
        <v>343</v>
      </c>
      <c r="D29" t="s">
        <v>427</v>
      </c>
      <c r="E29" t="s">
        <v>433</v>
      </c>
      <c r="F29" t="s">
        <v>8</v>
      </c>
      <c r="G29" t="s">
        <v>8</v>
      </c>
      <c r="H29" t="s">
        <v>8</v>
      </c>
      <c r="I29" t="s">
        <v>433</v>
      </c>
      <c r="J29" t="s">
        <v>387</v>
      </c>
      <c r="K29">
        <v>60</v>
      </c>
      <c r="L29">
        <v>0</v>
      </c>
      <c r="M29" t="s">
        <v>439</v>
      </c>
      <c r="N29" t="s">
        <v>433</v>
      </c>
    </row>
    <row r="30" spans="1:14" x14ac:dyDescent="0.25">
      <c r="A30">
        <v>215065</v>
      </c>
      <c r="B30" t="s">
        <v>342</v>
      </c>
      <c r="C30" t="s">
        <v>343</v>
      </c>
      <c r="D30" t="s">
        <v>427</v>
      </c>
      <c r="E30" t="s">
        <v>440</v>
      </c>
      <c r="F30" t="s">
        <v>8</v>
      </c>
      <c r="G30" t="s">
        <v>8</v>
      </c>
      <c r="H30" t="s">
        <v>8</v>
      </c>
      <c r="I30" t="s">
        <v>440</v>
      </c>
      <c r="J30" t="s">
        <v>387</v>
      </c>
      <c r="K30">
        <v>13</v>
      </c>
      <c r="L30">
        <v>0</v>
      </c>
      <c r="M30" t="s">
        <v>439</v>
      </c>
      <c r="N30" t="s">
        <v>440</v>
      </c>
    </row>
    <row r="31" spans="1:14" x14ac:dyDescent="0.25">
      <c r="A31">
        <v>215065</v>
      </c>
      <c r="B31" t="s">
        <v>342</v>
      </c>
      <c r="C31" t="s">
        <v>343</v>
      </c>
      <c r="D31" t="s">
        <v>427</v>
      </c>
      <c r="E31" t="s">
        <v>441</v>
      </c>
      <c r="F31" t="s">
        <v>8</v>
      </c>
      <c r="G31" t="s">
        <v>442</v>
      </c>
      <c r="H31" t="s">
        <v>8</v>
      </c>
      <c r="I31" t="s">
        <v>442</v>
      </c>
      <c r="J31" t="s">
        <v>387</v>
      </c>
      <c r="K31">
        <v>117</v>
      </c>
      <c r="L31">
        <v>0</v>
      </c>
      <c r="M31" t="s">
        <v>9</v>
      </c>
      <c r="N31" t="s">
        <v>442</v>
      </c>
    </row>
    <row r="32" spans="1:14" x14ac:dyDescent="0.25">
      <c r="A32">
        <v>215065</v>
      </c>
      <c r="B32" t="s">
        <v>342</v>
      </c>
      <c r="C32" t="s">
        <v>343</v>
      </c>
      <c r="D32" t="s">
        <v>427</v>
      </c>
      <c r="E32" t="s">
        <v>443</v>
      </c>
      <c r="F32" t="s">
        <v>8</v>
      </c>
      <c r="G32" t="s">
        <v>444</v>
      </c>
      <c r="H32" t="s">
        <v>8</v>
      </c>
      <c r="I32" t="s">
        <v>444</v>
      </c>
      <c r="J32" t="s">
        <v>387</v>
      </c>
      <c r="K32">
        <v>4</v>
      </c>
      <c r="L32">
        <v>0</v>
      </c>
      <c r="M32" t="s">
        <v>9</v>
      </c>
      <c r="N32" t="s">
        <v>444</v>
      </c>
    </row>
    <row r="33" spans="1:14" x14ac:dyDescent="0.25">
      <c r="A33">
        <v>215065</v>
      </c>
      <c r="B33" t="s">
        <v>342</v>
      </c>
      <c r="C33" t="s">
        <v>343</v>
      </c>
      <c r="D33" t="s">
        <v>445</v>
      </c>
      <c r="E33" t="s">
        <v>446</v>
      </c>
      <c r="F33" t="s">
        <v>8</v>
      </c>
      <c r="G33" t="s">
        <v>447</v>
      </c>
      <c r="H33" t="s">
        <v>8</v>
      </c>
      <c r="I33" t="s">
        <v>447</v>
      </c>
      <c r="J33" t="s">
        <v>391</v>
      </c>
      <c r="K33">
        <v>3</v>
      </c>
      <c r="L33">
        <v>0</v>
      </c>
      <c r="M33" t="s">
        <v>9</v>
      </c>
      <c r="N33" t="s">
        <v>447</v>
      </c>
    </row>
    <row r="34" spans="1:14" x14ac:dyDescent="0.25">
      <c r="A34">
        <v>215065</v>
      </c>
      <c r="B34" t="s">
        <v>342</v>
      </c>
      <c r="C34" t="s">
        <v>343</v>
      </c>
      <c r="D34" t="s">
        <v>448</v>
      </c>
      <c r="E34" t="s">
        <v>449</v>
      </c>
      <c r="F34" t="s">
        <v>450</v>
      </c>
      <c r="G34" t="s">
        <v>451</v>
      </c>
      <c r="H34" t="s">
        <v>8</v>
      </c>
      <c r="I34" t="s">
        <v>451</v>
      </c>
      <c r="J34" t="s">
        <v>398</v>
      </c>
      <c r="K34">
        <v>2</v>
      </c>
      <c r="L34">
        <v>0</v>
      </c>
      <c r="M34" t="s">
        <v>9</v>
      </c>
      <c r="N34" t="s">
        <v>451</v>
      </c>
    </row>
    <row r="35" spans="1:14" x14ac:dyDescent="0.25">
      <c r="A35">
        <v>215065</v>
      </c>
      <c r="B35" t="s">
        <v>342</v>
      </c>
      <c r="C35" t="s">
        <v>343</v>
      </c>
      <c r="D35" t="s">
        <v>452</v>
      </c>
      <c r="E35" t="s">
        <v>453</v>
      </c>
      <c r="F35" t="s">
        <v>454</v>
      </c>
      <c r="G35" t="s">
        <v>455</v>
      </c>
      <c r="H35" t="s">
        <v>456</v>
      </c>
      <c r="I35" t="s">
        <v>456</v>
      </c>
      <c r="J35" t="s">
        <v>387</v>
      </c>
      <c r="K35">
        <v>1</v>
      </c>
      <c r="L35">
        <v>0</v>
      </c>
      <c r="M35" t="s">
        <v>9</v>
      </c>
      <c r="N35" t="s">
        <v>456</v>
      </c>
    </row>
    <row r="36" spans="1:14" x14ac:dyDescent="0.25">
      <c r="A36">
        <v>215065</v>
      </c>
      <c r="B36" t="s">
        <v>342</v>
      </c>
      <c r="C36" t="s">
        <v>343</v>
      </c>
      <c r="D36" t="s">
        <v>452</v>
      </c>
      <c r="E36" t="s">
        <v>453</v>
      </c>
      <c r="F36" t="s">
        <v>8</v>
      </c>
      <c r="G36" t="s">
        <v>457</v>
      </c>
      <c r="H36" t="s">
        <v>458</v>
      </c>
      <c r="I36" t="s">
        <v>458</v>
      </c>
      <c r="J36" t="s">
        <v>387</v>
      </c>
      <c r="K36">
        <v>1</v>
      </c>
      <c r="L36">
        <v>0</v>
      </c>
      <c r="M36" t="s">
        <v>9</v>
      </c>
      <c r="N36" t="s">
        <v>458</v>
      </c>
    </row>
    <row r="37" spans="1:14" x14ac:dyDescent="0.25">
      <c r="A37">
        <v>215065</v>
      </c>
      <c r="B37" t="s">
        <v>342</v>
      </c>
      <c r="C37" t="s">
        <v>343</v>
      </c>
      <c r="D37" t="s">
        <v>452</v>
      </c>
      <c r="E37" t="s">
        <v>459</v>
      </c>
      <c r="F37" t="s">
        <v>460</v>
      </c>
      <c r="G37" t="s">
        <v>461</v>
      </c>
      <c r="H37" t="s">
        <v>8</v>
      </c>
      <c r="I37" t="s">
        <v>461</v>
      </c>
      <c r="J37" t="s">
        <v>387</v>
      </c>
      <c r="K37">
        <v>21</v>
      </c>
      <c r="L37">
        <v>1</v>
      </c>
      <c r="M37" t="s">
        <v>9</v>
      </c>
      <c r="N37" t="s">
        <v>461</v>
      </c>
    </row>
    <row r="38" spans="1:14" x14ac:dyDescent="0.25">
      <c r="A38">
        <v>215065</v>
      </c>
      <c r="B38" t="s">
        <v>342</v>
      </c>
      <c r="C38" t="s">
        <v>343</v>
      </c>
      <c r="D38" t="s">
        <v>452</v>
      </c>
      <c r="E38" t="s">
        <v>8</v>
      </c>
      <c r="F38" t="s">
        <v>8</v>
      </c>
      <c r="G38" t="s">
        <v>8</v>
      </c>
      <c r="H38" t="s">
        <v>8</v>
      </c>
      <c r="I38" t="s">
        <v>452</v>
      </c>
      <c r="J38" t="s">
        <v>387</v>
      </c>
      <c r="K38">
        <v>1</v>
      </c>
      <c r="L38">
        <v>0</v>
      </c>
      <c r="M38" t="s">
        <v>439</v>
      </c>
      <c r="N38" t="s">
        <v>8</v>
      </c>
    </row>
    <row r="39" spans="1:14" x14ac:dyDescent="0.25">
      <c r="A39">
        <v>215065</v>
      </c>
      <c r="B39" t="s">
        <v>342</v>
      </c>
      <c r="C39" t="s">
        <v>343</v>
      </c>
      <c r="D39" t="s">
        <v>462</v>
      </c>
      <c r="E39" t="s">
        <v>463</v>
      </c>
      <c r="F39" t="s">
        <v>8</v>
      </c>
      <c r="G39" t="s">
        <v>464</v>
      </c>
      <c r="H39" t="s">
        <v>465</v>
      </c>
      <c r="I39" t="s">
        <v>465</v>
      </c>
      <c r="J39" t="s">
        <v>387</v>
      </c>
      <c r="K39">
        <v>3</v>
      </c>
      <c r="L39">
        <v>0</v>
      </c>
      <c r="M39" t="s">
        <v>9</v>
      </c>
      <c r="N39" t="s">
        <v>465</v>
      </c>
    </row>
    <row r="40" spans="1:14" x14ac:dyDescent="0.25">
      <c r="A40">
        <v>215065</v>
      </c>
      <c r="B40" t="s">
        <v>342</v>
      </c>
      <c r="C40" t="s">
        <v>343</v>
      </c>
      <c r="D40" t="s">
        <v>462</v>
      </c>
      <c r="E40" t="s">
        <v>466</v>
      </c>
      <c r="F40" t="s">
        <v>8</v>
      </c>
      <c r="G40" t="s">
        <v>467</v>
      </c>
      <c r="H40" t="s">
        <v>8</v>
      </c>
      <c r="I40" t="s">
        <v>467</v>
      </c>
      <c r="J40" t="s">
        <v>398</v>
      </c>
      <c r="K40">
        <v>1</v>
      </c>
      <c r="L40">
        <v>0</v>
      </c>
      <c r="M40" t="s">
        <v>9</v>
      </c>
      <c r="N40" t="s">
        <v>467</v>
      </c>
    </row>
    <row r="41" spans="1:14" x14ac:dyDescent="0.25">
      <c r="A41">
        <v>215065</v>
      </c>
      <c r="B41" t="s">
        <v>342</v>
      </c>
      <c r="C41" t="s">
        <v>343</v>
      </c>
      <c r="D41" t="s">
        <v>462</v>
      </c>
      <c r="E41" t="s">
        <v>468</v>
      </c>
      <c r="F41" t="s">
        <v>469</v>
      </c>
      <c r="G41" t="s">
        <v>470</v>
      </c>
      <c r="H41" t="s">
        <v>8</v>
      </c>
      <c r="I41" t="s">
        <v>470</v>
      </c>
      <c r="J41" t="s">
        <v>387</v>
      </c>
      <c r="K41">
        <v>18</v>
      </c>
      <c r="L41">
        <v>1</v>
      </c>
      <c r="M41" t="s">
        <v>9</v>
      </c>
      <c r="N41" t="s">
        <v>470</v>
      </c>
    </row>
    <row r="42" spans="1:14" x14ac:dyDescent="0.25">
      <c r="A42">
        <v>215065</v>
      </c>
      <c r="B42" t="s">
        <v>342</v>
      </c>
      <c r="C42" t="s">
        <v>343</v>
      </c>
      <c r="D42" t="s">
        <v>462</v>
      </c>
      <c r="E42" t="s">
        <v>471</v>
      </c>
      <c r="F42" t="s">
        <v>8</v>
      </c>
      <c r="G42" t="s">
        <v>8</v>
      </c>
      <c r="H42" t="s">
        <v>8</v>
      </c>
      <c r="I42" t="s">
        <v>471</v>
      </c>
      <c r="J42" t="s">
        <v>387</v>
      </c>
      <c r="K42">
        <v>2</v>
      </c>
      <c r="L42">
        <v>0</v>
      </c>
      <c r="M42" t="s">
        <v>439</v>
      </c>
      <c r="N42" t="s">
        <v>471</v>
      </c>
    </row>
    <row r="43" spans="1:14" x14ac:dyDescent="0.25">
      <c r="A43">
        <v>215065</v>
      </c>
      <c r="B43" t="s">
        <v>342</v>
      </c>
      <c r="C43" t="s">
        <v>343</v>
      </c>
      <c r="D43" t="s">
        <v>462</v>
      </c>
      <c r="E43" t="s">
        <v>472</v>
      </c>
      <c r="F43" t="s">
        <v>473</v>
      </c>
      <c r="G43" t="s">
        <v>474</v>
      </c>
      <c r="H43" t="s">
        <v>8</v>
      </c>
      <c r="I43" t="s">
        <v>474</v>
      </c>
      <c r="J43" t="s">
        <v>387</v>
      </c>
      <c r="K43">
        <v>7</v>
      </c>
      <c r="L43">
        <v>0</v>
      </c>
      <c r="M43" t="s">
        <v>9</v>
      </c>
      <c r="N43" t="s">
        <v>474</v>
      </c>
    </row>
    <row r="44" spans="1:14" x14ac:dyDescent="0.25">
      <c r="A44">
        <v>215065</v>
      </c>
      <c r="B44" t="s">
        <v>342</v>
      </c>
      <c r="C44" t="s">
        <v>343</v>
      </c>
      <c r="D44" t="s">
        <v>462</v>
      </c>
      <c r="E44" t="s">
        <v>472</v>
      </c>
      <c r="F44" t="s">
        <v>473</v>
      </c>
      <c r="G44" t="s">
        <v>475</v>
      </c>
      <c r="H44" t="s">
        <v>8</v>
      </c>
      <c r="I44" t="s">
        <v>475</v>
      </c>
      <c r="J44" t="s">
        <v>387</v>
      </c>
      <c r="K44">
        <v>1</v>
      </c>
      <c r="L44">
        <v>0</v>
      </c>
      <c r="M44" t="s">
        <v>9</v>
      </c>
      <c r="N44" t="s">
        <v>8</v>
      </c>
    </row>
    <row r="45" spans="1:14" x14ac:dyDescent="0.25">
      <c r="A45">
        <v>215065</v>
      </c>
      <c r="B45" t="s">
        <v>342</v>
      </c>
      <c r="C45" t="s">
        <v>343</v>
      </c>
      <c r="D45" t="s">
        <v>462</v>
      </c>
      <c r="E45" t="s">
        <v>8</v>
      </c>
      <c r="F45" t="s">
        <v>8</v>
      </c>
      <c r="G45" t="s">
        <v>8</v>
      </c>
      <c r="H45" t="s">
        <v>8</v>
      </c>
      <c r="I45" t="s">
        <v>462</v>
      </c>
      <c r="J45" t="s">
        <v>398</v>
      </c>
      <c r="K45">
        <v>1</v>
      </c>
      <c r="L45">
        <v>0</v>
      </c>
      <c r="M45" t="s">
        <v>476</v>
      </c>
      <c r="N45" t="s">
        <v>462</v>
      </c>
    </row>
    <row r="46" spans="1:14" x14ac:dyDescent="0.25">
      <c r="A46">
        <v>215065</v>
      </c>
      <c r="B46" t="s">
        <v>342</v>
      </c>
      <c r="C46" t="s">
        <v>343</v>
      </c>
      <c r="D46" t="s">
        <v>477</v>
      </c>
      <c r="E46" t="s">
        <v>478</v>
      </c>
      <c r="F46" t="s">
        <v>8</v>
      </c>
      <c r="G46" t="s">
        <v>479</v>
      </c>
      <c r="H46" t="s">
        <v>8</v>
      </c>
      <c r="I46" t="s">
        <v>479</v>
      </c>
      <c r="J46" t="s">
        <v>391</v>
      </c>
      <c r="K46">
        <v>3</v>
      </c>
      <c r="L46">
        <v>0</v>
      </c>
      <c r="M46" t="s">
        <v>9</v>
      </c>
      <c r="N46" t="s">
        <v>479</v>
      </c>
    </row>
    <row r="47" spans="1:14" x14ac:dyDescent="0.25">
      <c r="A47">
        <v>215065</v>
      </c>
      <c r="B47" t="s">
        <v>342</v>
      </c>
      <c r="C47" t="s">
        <v>343</v>
      </c>
      <c r="D47" t="s">
        <v>477</v>
      </c>
      <c r="E47" t="s">
        <v>8</v>
      </c>
      <c r="F47" t="s">
        <v>8</v>
      </c>
      <c r="G47" t="s">
        <v>8</v>
      </c>
      <c r="H47" t="s">
        <v>8</v>
      </c>
      <c r="I47" t="s">
        <v>477</v>
      </c>
      <c r="J47" t="s">
        <v>391</v>
      </c>
      <c r="K47">
        <v>2</v>
      </c>
      <c r="L47">
        <v>0</v>
      </c>
      <c r="M47" t="s">
        <v>476</v>
      </c>
      <c r="N47" t="s">
        <v>477</v>
      </c>
    </row>
    <row r="48" spans="1:14" x14ac:dyDescent="0.25">
      <c r="A48">
        <v>215065</v>
      </c>
      <c r="B48" t="s">
        <v>342</v>
      </c>
      <c r="C48" t="s">
        <v>343</v>
      </c>
      <c r="D48" t="s">
        <v>480</v>
      </c>
      <c r="E48" t="s">
        <v>481</v>
      </c>
      <c r="F48" t="s">
        <v>8</v>
      </c>
      <c r="G48" t="s">
        <v>482</v>
      </c>
      <c r="H48" t="s">
        <v>8</v>
      </c>
      <c r="I48" t="s">
        <v>482</v>
      </c>
      <c r="J48" t="s">
        <v>391</v>
      </c>
      <c r="K48">
        <v>2</v>
      </c>
      <c r="L48">
        <v>0</v>
      </c>
      <c r="M48" t="s">
        <v>9</v>
      </c>
      <c r="N48" t="s">
        <v>482</v>
      </c>
    </row>
    <row r="49" spans="1:14" x14ac:dyDescent="0.25">
      <c r="A49">
        <v>215065</v>
      </c>
      <c r="B49" t="s">
        <v>342</v>
      </c>
      <c r="C49" t="s">
        <v>343</v>
      </c>
      <c r="D49" t="s">
        <v>8</v>
      </c>
      <c r="E49" t="s">
        <v>8</v>
      </c>
      <c r="F49" t="s">
        <v>8</v>
      </c>
      <c r="G49" t="s">
        <v>8</v>
      </c>
      <c r="H49" t="s">
        <v>8</v>
      </c>
      <c r="I49" t="s">
        <v>483</v>
      </c>
      <c r="J49" t="s">
        <v>391</v>
      </c>
      <c r="K49">
        <v>28</v>
      </c>
      <c r="L49">
        <v>3</v>
      </c>
      <c r="M49" t="s">
        <v>9</v>
      </c>
      <c r="N49" t="s">
        <v>483</v>
      </c>
    </row>
    <row r="50" spans="1:14" x14ac:dyDescent="0.25">
      <c r="A50">
        <v>215065</v>
      </c>
      <c r="B50" t="s">
        <v>342</v>
      </c>
      <c r="C50" t="s">
        <v>343</v>
      </c>
      <c r="D50" t="s">
        <v>8</v>
      </c>
      <c r="E50" t="s">
        <v>8</v>
      </c>
      <c r="F50" t="s">
        <v>8</v>
      </c>
      <c r="G50" t="s">
        <v>8</v>
      </c>
      <c r="H50" t="s">
        <v>8</v>
      </c>
      <c r="I50" t="s">
        <v>484</v>
      </c>
      <c r="J50" t="s">
        <v>391</v>
      </c>
      <c r="K50">
        <v>2</v>
      </c>
      <c r="L50">
        <v>0</v>
      </c>
      <c r="M50" t="s">
        <v>9</v>
      </c>
      <c r="N50" t="s">
        <v>484</v>
      </c>
    </row>
    <row r="51" spans="1:14" x14ac:dyDescent="0.25">
      <c r="A51">
        <v>215066</v>
      </c>
      <c r="B51" t="s">
        <v>352</v>
      </c>
      <c r="C51" t="s">
        <v>343</v>
      </c>
      <c r="D51" t="s">
        <v>485</v>
      </c>
      <c r="E51" t="s">
        <v>8</v>
      </c>
      <c r="F51" t="s">
        <v>8</v>
      </c>
      <c r="G51" t="s">
        <v>8</v>
      </c>
      <c r="H51" t="s">
        <v>8</v>
      </c>
      <c r="I51" t="s">
        <v>485</v>
      </c>
      <c r="J51" t="s">
        <v>391</v>
      </c>
      <c r="K51">
        <v>2</v>
      </c>
      <c r="L51">
        <v>0</v>
      </c>
      <c r="M51" t="s">
        <v>476</v>
      </c>
      <c r="N51" t="s">
        <v>485</v>
      </c>
    </row>
    <row r="52" spans="1:14" x14ac:dyDescent="0.25">
      <c r="A52">
        <v>215066</v>
      </c>
      <c r="B52" t="s">
        <v>352</v>
      </c>
      <c r="C52" t="s">
        <v>343</v>
      </c>
      <c r="D52" t="s">
        <v>486</v>
      </c>
      <c r="E52" t="s">
        <v>487</v>
      </c>
      <c r="F52" t="s">
        <v>8</v>
      </c>
      <c r="G52" t="s">
        <v>488</v>
      </c>
      <c r="H52" t="s">
        <v>8</v>
      </c>
      <c r="I52" t="s">
        <v>488</v>
      </c>
      <c r="J52" t="s">
        <v>391</v>
      </c>
      <c r="K52">
        <v>1</v>
      </c>
      <c r="L52">
        <v>0</v>
      </c>
      <c r="M52" t="s">
        <v>9</v>
      </c>
      <c r="N52" t="s">
        <v>488</v>
      </c>
    </row>
    <row r="53" spans="1:14" x14ac:dyDescent="0.25">
      <c r="A53">
        <v>215066</v>
      </c>
      <c r="B53" t="s">
        <v>352</v>
      </c>
      <c r="C53" t="s">
        <v>343</v>
      </c>
      <c r="D53" t="s">
        <v>384</v>
      </c>
      <c r="E53" t="s">
        <v>385</v>
      </c>
      <c r="F53" t="s">
        <v>8</v>
      </c>
      <c r="G53" t="s">
        <v>386</v>
      </c>
      <c r="H53" t="s">
        <v>8</v>
      </c>
      <c r="I53" t="s">
        <v>386</v>
      </c>
      <c r="J53" t="s">
        <v>387</v>
      </c>
      <c r="K53">
        <v>90</v>
      </c>
      <c r="L53">
        <v>1</v>
      </c>
      <c r="M53" t="s">
        <v>9</v>
      </c>
      <c r="N53" t="s">
        <v>386</v>
      </c>
    </row>
    <row r="54" spans="1:14" x14ac:dyDescent="0.25">
      <c r="A54">
        <v>215066</v>
      </c>
      <c r="B54" t="s">
        <v>352</v>
      </c>
      <c r="C54" t="s">
        <v>343</v>
      </c>
      <c r="D54" t="s">
        <v>384</v>
      </c>
      <c r="E54" t="s">
        <v>385</v>
      </c>
      <c r="F54" t="s">
        <v>8</v>
      </c>
      <c r="G54" t="s">
        <v>388</v>
      </c>
      <c r="H54" t="s">
        <v>389</v>
      </c>
      <c r="I54" t="s">
        <v>389</v>
      </c>
      <c r="J54" t="s">
        <v>387</v>
      </c>
      <c r="K54">
        <v>5</v>
      </c>
      <c r="L54">
        <v>0</v>
      </c>
      <c r="M54" t="s">
        <v>9</v>
      </c>
      <c r="N54" t="s">
        <v>389</v>
      </c>
    </row>
    <row r="55" spans="1:14" x14ac:dyDescent="0.25">
      <c r="A55">
        <v>215066</v>
      </c>
      <c r="B55" t="s">
        <v>352</v>
      </c>
      <c r="C55" t="s">
        <v>343</v>
      </c>
      <c r="D55" t="s">
        <v>384</v>
      </c>
      <c r="E55" t="s">
        <v>385</v>
      </c>
      <c r="F55" t="s">
        <v>8</v>
      </c>
      <c r="G55" t="s">
        <v>386</v>
      </c>
      <c r="H55" t="s">
        <v>390</v>
      </c>
      <c r="I55" t="s">
        <v>390</v>
      </c>
      <c r="J55" t="s">
        <v>391</v>
      </c>
      <c r="K55">
        <v>5</v>
      </c>
      <c r="L55">
        <v>0</v>
      </c>
      <c r="M55" t="s">
        <v>9</v>
      </c>
      <c r="N55" t="s">
        <v>390</v>
      </c>
    </row>
    <row r="56" spans="1:14" x14ac:dyDescent="0.25">
      <c r="A56">
        <v>215066</v>
      </c>
      <c r="B56" t="s">
        <v>352</v>
      </c>
      <c r="C56" t="s">
        <v>343</v>
      </c>
      <c r="D56" t="s">
        <v>384</v>
      </c>
      <c r="E56" t="s">
        <v>385</v>
      </c>
      <c r="F56" t="s">
        <v>8</v>
      </c>
      <c r="G56" t="s">
        <v>386</v>
      </c>
      <c r="H56" t="s">
        <v>392</v>
      </c>
      <c r="I56" t="s">
        <v>392</v>
      </c>
      <c r="J56" t="s">
        <v>391</v>
      </c>
      <c r="K56">
        <v>12</v>
      </c>
      <c r="L56">
        <v>0</v>
      </c>
      <c r="M56" t="s">
        <v>9</v>
      </c>
      <c r="N56" t="s">
        <v>392</v>
      </c>
    </row>
    <row r="57" spans="1:14" x14ac:dyDescent="0.25">
      <c r="A57">
        <v>215066</v>
      </c>
      <c r="B57" t="s">
        <v>352</v>
      </c>
      <c r="C57" t="s">
        <v>343</v>
      </c>
      <c r="D57" t="s">
        <v>393</v>
      </c>
      <c r="E57" t="s">
        <v>394</v>
      </c>
      <c r="F57" t="s">
        <v>395</v>
      </c>
      <c r="G57" t="s">
        <v>396</v>
      </c>
      <c r="H57" t="s">
        <v>8</v>
      </c>
      <c r="I57" t="s">
        <v>396</v>
      </c>
      <c r="J57" t="s">
        <v>387</v>
      </c>
      <c r="K57">
        <v>9</v>
      </c>
      <c r="L57">
        <v>0</v>
      </c>
      <c r="M57" t="s">
        <v>9</v>
      </c>
      <c r="N57" t="s">
        <v>396</v>
      </c>
    </row>
    <row r="58" spans="1:14" x14ac:dyDescent="0.25">
      <c r="A58">
        <v>215066</v>
      </c>
      <c r="B58" t="s">
        <v>352</v>
      </c>
      <c r="C58" t="s">
        <v>343</v>
      </c>
      <c r="D58" t="s">
        <v>393</v>
      </c>
      <c r="E58" t="s">
        <v>397</v>
      </c>
      <c r="F58" t="s">
        <v>8</v>
      </c>
      <c r="G58" t="s">
        <v>8</v>
      </c>
      <c r="H58" t="s">
        <v>8</v>
      </c>
      <c r="I58" t="s">
        <v>397</v>
      </c>
      <c r="J58" t="s">
        <v>398</v>
      </c>
      <c r="K58">
        <v>15</v>
      </c>
      <c r="L58">
        <v>0</v>
      </c>
      <c r="M58" t="s">
        <v>9</v>
      </c>
      <c r="N58" t="s">
        <v>397</v>
      </c>
    </row>
    <row r="59" spans="1:14" x14ac:dyDescent="0.25">
      <c r="A59">
        <v>215066</v>
      </c>
      <c r="B59" t="s">
        <v>352</v>
      </c>
      <c r="C59" t="s">
        <v>343</v>
      </c>
      <c r="D59" t="s">
        <v>393</v>
      </c>
      <c r="E59" t="s">
        <v>397</v>
      </c>
      <c r="F59" t="s">
        <v>405</v>
      </c>
      <c r="G59" t="s">
        <v>489</v>
      </c>
      <c r="H59" t="s">
        <v>8</v>
      </c>
      <c r="I59" t="s">
        <v>489</v>
      </c>
      <c r="J59" t="s">
        <v>387</v>
      </c>
      <c r="K59">
        <v>2</v>
      </c>
      <c r="L59">
        <v>0</v>
      </c>
      <c r="M59" t="s">
        <v>9</v>
      </c>
      <c r="N59" t="s">
        <v>489</v>
      </c>
    </row>
    <row r="60" spans="1:14" x14ac:dyDescent="0.25">
      <c r="A60">
        <v>215066</v>
      </c>
      <c r="B60" t="s">
        <v>352</v>
      </c>
      <c r="C60" t="s">
        <v>343</v>
      </c>
      <c r="D60" t="s">
        <v>393</v>
      </c>
      <c r="E60" t="s">
        <v>397</v>
      </c>
      <c r="F60" t="s">
        <v>401</v>
      </c>
      <c r="G60" t="s">
        <v>402</v>
      </c>
      <c r="H60" t="s">
        <v>8</v>
      </c>
      <c r="I60" t="s">
        <v>402</v>
      </c>
      <c r="J60" t="s">
        <v>387</v>
      </c>
      <c r="K60">
        <v>6</v>
      </c>
      <c r="L60">
        <v>0</v>
      </c>
      <c r="M60" t="s">
        <v>9</v>
      </c>
      <c r="N60" t="s">
        <v>402</v>
      </c>
    </row>
    <row r="61" spans="1:14" x14ac:dyDescent="0.25">
      <c r="A61">
        <v>215066</v>
      </c>
      <c r="B61" t="s">
        <v>352</v>
      </c>
      <c r="C61" t="s">
        <v>343</v>
      </c>
      <c r="D61" t="s">
        <v>393</v>
      </c>
      <c r="E61" t="s">
        <v>397</v>
      </c>
      <c r="F61" t="s">
        <v>399</v>
      </c>
      <c r="G61" t="s">
        <v>403</v>
      </c>
      <c r="H61" t="s">
        <v>8</v>
      </c>
      <c r="I61" t="s">
        <v>403</v>
      </c>
      <c r="J61" t="s">
        <v>387</v>
      </c>
      <c r="K61">
        <v>2</v>
      </c>
      <c r="L61">
        <v>0</v>
      </c>
      <c r="M61" t="s">
        <v>9</v>
      </c>
      <c r="N61" t="s">
        <v>403</v>
      </c>
    </row>
    <row r="62" spans="1:14" x14ac:dyDescent="0.25">
      <c r="A62">
        <v>215066</v>
      </c>
      <c r="B62" t="s">
        <v>352</v>
      </c>
      <c r="C62" t="s">
        <v>343</v>
      </c>
      <c r="D62" t="s">
        <v>393</v>
      </c>
      <c r="E62" t="s">
        <v>397</v>
      </c>
      <c r="F62" t="s">
        <v>401</v>
      </c>
      <c r="G62" t="s">
        <v>8</v>
      </c>
      <c r="H62" t="s">
        <v>8</v>
      </c>
      <c r="I62" t="s">
        <v>490</v>
      </c>
      <c r="J62" t="s">
        <v>387</v>
      </c>
      <c r="K62">
        <v>8</v>
      </c>
      <c r="L62">
        <v>0</v>
      </c>
      <c r="M62" t="s">
        <v>9</v>
      </c>
      <c r="N62" t="s">
        <v>490</v>
      </c>
    </row>
    <row r="63" spans="1:14" x14ac:dyDescent="0.25">
      <c r="A63">
        <v>215066</v>
      </c>
      <c r="B63" t="s">
        <v>352</v>
      </c>
      <c r="C63" t="s">
        <v>343</v>
      </c>
      <c r="D63" t="s">
        <v>393</v>
      </c>
      <c r="E63" t="s">
        <v>397</v>
      </c>
      <c r="F63" t="s">
        <v>405</v>
      </c>
      <c r="G63" t="s">
        <v>408</v>
      </c>
      <c r="H63" t="s">
        <v>409</v>
      </c>
      <c r="I63" t="s">
        <v>410</v>
      </c>
      <c r="J63" t="s">
        <v>387</v>
      </c>
      <c r="K63">
        <v>86</v>
      </c>
      <c r="L63">
        <v>0</v>
      </c>
      <c r="M63" t="s">
        <v>9</v>
      </c>
      <c r="N63" t="s">
        <v>410</v>
      </c>
    </row>
    <row r="64" spans="1:14" x14ac:dyDescent="0.25">
      <c r="A64">
        <v>215066</v>
      </c>
      <c r="B64" t="s">
        <v>352</v>
      </c>
      <c r="C64" t="s">
        <v>343</v>
      </c>
      <c r="D64" t="s">
        <v>393</v>
      </c>
      <c r="E64" t="s">
        <v>397</v>
      </c>
      <c r="F64" t="s">
        <v>405</v>
      </c>
      <c r="G64" t="s">
        <v>408</v>
      </c>
      <c r="H64" t="s">
        <v>411</v>
      </c>
      <c r="I64" t="s">
        <v>412</v>
      </c>
      <c r="J64" t="s">
        <v>387</v>
      </c>
      <c r="K64">
        <v>10</v>
      </c>
      <c r="L64">
        <v>0</v>
      </c>
      <c r="M64" t="s">
        <v>9</v>
      </c>
      <c r="N64" t="s">
        <v>412</v>
      </c>
    </row>
    <row r="65" spans="1:14" x14ac:dyDescent="0.25">
      <c r="A65">
        <v>215066</v>
      </c>
      <c r="B65" t="s">
        <v>352</v>
      </c>
      <c r="C65" t="s">
        <v>343</v>
      </c>
      <c r="D65" t="s">
        <v>393</v>
      </c>
      <c r="E65" t="s">
        <v>397</v>
      </c>
      <c r="F65" t="s">
        <v>405</v>
      </c>
      <c r="G65" t="s">
        <v>491</v>
      </c>
      <c r="H65" t="s">
        <v>492</v>
      </c>
      <c r="I65" t="s">
        <v>493</v>
      </c>
      <c r="J65" t="s">
        <v>387</v>
      </c>
      <c r="K65">
        <v>6</v>
      </c>
      <c r="L65">
        <v>0</v>
      </c>
      <c r="M65" t="s">
        <v>9</v>
      </c>
      <c r="N65" t="s">
        <v>494</v>
      </c>
    </row>
    <row r="66" spans="1:14" x14ac:dyDescent="0.25">
      <c r="A66">
        <v>215066</v>
      </c>
      <c r="B66" t="s">
        <v>352</v>
      </c>
      <c r="C66" t="s">
        <v>343</v>
      </c>
      <c r="D66" t="s">
        <v>393</v>
      </c>
      <c r="E66" t="s">
        <v>397</v>
      </c>
      <c r="F66" t="s">
        <v>405</v>
      </c>
      <c r="G66" t="s">
        <v>416</v>
      </c>
      <c r="H66" t="s">
        <v>417</v>
      </c>
      <c r="I66" t="s">
        <v>417</v>
      </c>
      <c r="J66" t="s">
        <v>387</v>
      </c>
      <c r="K66">
        <v>6</v>
      </c>
      <c r="L66">
        <v>0</v>
      </c>
      <c r="M66" t="s">
        <v>9</v>
      </c>
      <c r="N66" t="s">
        <v>417</v>
      </c>
    </row>
    <row r="67" spans="1:14" x14ac:dyDescent="0.25">
      <c r="A67">
        <v>215066</v>
      </c>
      <c r="B67" t="s">
        <v>352</v>
      </c>
      <c r="C67" t="s">
        <v>343</v>
      </c>
      <c r="D67" t="s">
        <v>393</v>
      </c>
      <c r="E67" t="s">
        <v>397</v>
      </c>
      <c r="F67" t="s">
        <v>405</v>
      </c>
      <c r="G67" t="s">
        <v>416</v>
      </c>
      <c r="H67" t="s">
        <v>8</v>
      </c>
      <c r="I67" t="s">
        <v>416</v>
      </c>
      <c r="J67" t="s">
        <v>387</v>
      </c>
      <c r="K67">
        <v>40</v>
      </c>
      <c r="L67">
        <v>0</v>
      </c>
      <c r="M67" t="s">
        <v>9</v>
      </c>
      <c r="N67" t="s">
        <v>416</v>
      </c>
    </row>
    <row r="68" spans="1:14" x14ac:dyDescent="0.25">
      <c r="A68">
        <v>215066</v>
      </c>
      <c r="B68" t="s">
        <v>352</v>
      </c>
      <c r="C68" t="s">
        <v>343</v>
      </c>
      <c r="D68" t="s">
        <v>393</v>
      </c>
      <c r="E68" t="s">
        <v>397</v>
      </c>
      <c r="F68" t="s">
        <v>405</v>
      </c>
      <c r="G68" t="s">
        <v>418</v>
      </c>
      <c r="H68" t="s">
        <v>8</v>
      </c>
      <c r="I68" t="s">
        <v>418</v>
      </c>
      <c r="J68" t="s">
        <v>387</v>
      </c>
      <c r="K68">
        <v>40</v>
      </c>
      <c r="L68">
        <v>0</v>
      </c>
      <c r="M68" t="s">
        <v>9</v>
      </c>
      <c r="N68" t="s">
        <v>418</v>
      </c>
    </row>
    <row r="69" spans="1:14" x14ac:dyDescent="0.25">
      <c r="A69">
        <v>215066</v>
      </c>
      <c r="B69" t="s">
        <v>352</v>
      </c>
      <c r="C69" t="s">
        <v>343</v>
      </c>
      <c r="D69" t="s">
        <v>393</v>
      </c>
      <c r="E69" t="s">
        <v>397</v>
      </c>
      <c r="F69" t="s">
        <v>405</v>
      </c>
      <c r="G69" t="s">
        <v>419</v>
      </c>
      <c r="H69" t="s">
        <v>8</v>
      </c>
      <c r="I69" t="s">
        <v>419</v>
      </c>
      <c r="J69" t="s">
        <v>387</v>
      </c>
      <c r="K69">
        <v>14</v>
      </c>
      <c r="L69">
        <v>0</v>
      </c>
      <c r="M69" t="s">
        <v>9</v>
      </c>
      <c r="N69" t="s">
        <v>419</v>
      </c>
    </row>
    <row r="70" spans="1:14" x14ac:dyDescent="0.25">
      <c r="A70">
        <v>215066</v>
      </c>
      <c r="B70" t="s">
        <v>352</v>
      </c>
      <c r="C70" t="s">
        <v>343</v>
      </c>
      <c r="D70" t="s">
        <v>393</v>
      </c>
      <c r="E70" t="s">
        <v>397</v>
      </c>
      <c r="F70" t="s">
        <v>405</v>
      </c>
      <c r="G70" t="s">
        <v>495</v>
      </c>
      <c r="H70" t="s">
        <v>8</v>
      </c>
      <c r="I70" t="s">
        <v>495</v>
      </c>
      <c r="J70" t="s">
        <v>387</v>
      </c>
      <c r="K70">
        <v>4</v>
      </c>
      <c r="L70">
        <v>0</v>
      </c>
      <c r="M70" t="s">
        <v>9</v>
      </c>
      <c r="N70" t="s">
        <v>495</v>
      </c>
    </row>
    <row r="71" spans="1:14" x14ac:dyDescent="0.25">
      <c r="A71">
        <v>215066</v>
      </c>
      <c r="B71" t="s">
        <v>352</v>
      </c>
      <c r="C71" t="s">
        <v>343</v>
      </c>
      <c r="D71" t="s">
        <v>393</v>
      </c>
      <c r="E71" t="s">
        <v>421</v>
      </c>
      <c r="F71" t="s">
        <v>422</v>
      </c>
      <c r="G71" t="s">
        <v>423</v>
      </c>
      <c r="H71" t="s">
        <v>8</v>
      </c>
      <c r="I71" t="s">
        <v>423</v>
      </c>
      <c r="J71" t="s">
        <v>387</v>
      </c>
      <c r="K71">
        <v>18</v>
      </c>
      <c r="L71">
        <v>0</v>
      </c>
      <c r="M71" t="s">
        <v>9</v>
      </c>
      <c r="N71" t="s">
        <v>423</v>
      </c>
    </row>
    <row r="72" spans="1:14" x14ac:dyDescent="0.25">
      <c r="A72">
        <v>215066</v>
      </c>
      <c r="B72" t="s">
        <v>352</v>
      </c>
      <c r="C72" t="s">
        <v>343</v>
      </c>
      <c r="D72" t="s">
        <v>393</v>
      </c>
      <c r="E72" t="s">
        <v>424</v>
      </c>
      <c r="F72" t="s">
        <v>425</v>
      </c>
      <c r="G72" t="s">
        <v>496</v>
      </c>
      <c r="H72" t="s">
        <v>8</v>
      </c>
      <c r="I72" t="s">
        <v>496</v>
      </c>
      <c r="J72" t="s">
        <v>387</v>
      </c>
      <c r="K72">
        <v>1</v>
      </c>
      <c r="L72">
        <v>0</v>
      </c>
      <c r="M72" t="s">
        <v>9</v>
      </c>
      <c r="N72" t="s">
        <v>496</v>
      </c>
    </row>
    <row r="73" spans="1:14" x14ac:dyDescent="0.25">
      <c r="A73">
        <v>215066</v>
      </c>
      <c r="B73" t="s">
        <v>352</v>
      </c>
      <c r="C73" t="s">
        <v>343</v>
      </c>
      <c r="D73" t="s">
        <v>427</v>
      </c>
      <c r="E73" t="s">
        <v>428</v>
      </c>
      <c r="F73" t="s">
        <v>8</v>
      </c>
      <c r="G73" t="s">
        <v>429</v>
      </c>
      <c r="H73" t="s">
        <v>8</v>
      </c>
      <c r="I73" t="s">
        <v>429</v>
      </c>
      <c r="J73" t="s">
        <v>387</v>
      </c>
      <c r="K73">
        <v>77</v>
      </c>
      <c r="L73">
        <v>1</v>
      </c>
      <c r="M73" t="s">
        <v>9</v>
      </c>
      <c r="N73" t="s">
        <v>429</v>
      </c>
    </row>
    <row r="74" spans="1:14" x14ac:dyDescent="0.25">
      <c r="A74">
        <v>215066</v>
      </c>
      <c r="B74" t="s">
        <v>352</v>
      </c>
      <c r="C74" t="s">
        <v>343</v>
      </c>
      <c r="D74" t="s">
        <v>427</v>
      </c>
      <c r="E74" t="s">
        <v>428</v>
      </c>
      <c r="F74" t="s">
        <v>8</v>
      </c>
      <c r="G74" t="s">
        <v>431</v>
      </c>
      <c r="H74" t="s">
        <v>432</v>
      </c>
      <c r="I74" t="s">
        <v>432</v>
      </c>
      <c r="J74" t="s">
        <v>387</v>
      </c>
      <c r="K74">
        <v>14</v>
      </c>
      <c r="L74">
        <v>0</v>
      </c>
      <c r="M74" t="s">
        <v>9</v>
      </c>
      <c r="N74" t="s">
        <v>432</v>
      </c>
    </row>
    <row r="75" spans="1:14" x14ac:dyDescent="0.25">
      <c r="A75">
        <v>215066</v>
      </c>
      <c r="B75" t="s">
        <v>352</v>
      </c>
      <c r="C75" t="s">
        <v>343</v>
      </c>
      <c r="D75" t="s">
        <v>427</v>
      </c>
      <c r="E75" t="s">
        <v>433</v>
      </c>
      <c r="F75" t="s">
        <v>8</v>
      </c>
      <c r="G75" t="s">
        <v>8</v>
      </c>
      <c r="H75" t="s">
        <v>8</v>
      </c>
      <c r="I75" t="s">
        <v>433</v>
      </c>
      <c r="J75" t="s">
        <v>387</v>
      </c>
      <c r="K75">
        <v>25</v>
      </c>
      <c r="L75">
        <v>0</v>
      </c>
      <c r="M75" t="s">
        <v>439</v>
      </c>
      <c r="N75" t="s">
        <v>433</v>
      </c>
    </row>
    <row r="76" spans="1:14" x14ac:dyDescent="0.25">
      <c r="A76">
        <v>215066</v>
      </c>
      <c r="B76" t="s">
        <v>352</v>
      </c>
      <c r="C76" t="s">
        <v>343</v>
      </c>
      <c r="D76" t="s">
        <v>427</v>
      </c>
      <c r="E76" t="s">
        <v>433</v>
      </c>
      <c r="F76" t="s">
        <v>8</v>
      </c>
      <c r="G76" t="s">
        <v>438</v>
      </c>
      <c r="H76" t="s">
        <v>8</v>
      </c>
      <c r="I76" t="s">
        <v>438</v>
      </c>
      <c r="J76" t="s">
        <v>387</v>
      </c>
      <c r="K76">
        <v>67</v>
      </c>
      <c r="L76">
        <v>0</v>
      </c>
      <c r="M76" t="s">
        <v>9</v>
      </c>
      <c r="N76" t="s">
        <v>438</v>
      </c>
    </row>
    <row r="77" spans="1:14" x14ac:dyDescent="0.25">
      <c r="A77">
        <v>215066</v>
      </c>
      <c r="B77" t="s">
        <v>352</v>
      </c>
      <c r="C77" t="s">
        <v>343</v>
      </c>
      <c r="D77" t="s">
        <v>427</v>
      </c>
      <c r="E77" t="s">
        <v>433</v>
      </c>
      <c r="F77" t="s">
        <v>8</v>
      </c>
      <c r="G77" t="s">
        <v>434</v>
      </c>
      <c r="H77" t="s">
        <v>435</v>
      </c>
      <c r="I77" t="s">
        <v>436</v>
      </c>
      <c r="J77" t="s">
        <v>387</v>
      </c>
      <c r="K77">
        <v>17</v>
      </c>
      <c r="L77">
        <v>0</v>
      </c>
      <c r="M77" t="s">
        <v>9</v>
      </c>
      <c r="N77" t="s">
        <v>437</v>
      </c>
    </row>
    <row r="78" spans="1:14" x14ac:dyDescent="0.25">
      <c r="A78">
        <v>215066</v>
      </c>
      <c r="B78" t="s">
        <v>352</v>
      </c>
      <c r="C78" t="s">
        <v>343</v>
      </c>
      <c r="D78" t="s">
        <v>427</v>
      </c>
      <c r="E78" t="s">
        <v>440</v>
      </c>
      <c r="F78" t="s">
        <v>8</v>
      </c>
      <c r="G78" t="s">
        <v>8</v>
      </c>
      <c r="H78" t="s">
        <v>8</v>
      </c>
      <c r="I78" t="s">
        <v>440</v>
      </c>
      <c r="J78" t="s">
        <v>387</v>
      </c>
      <c r="K78">
        <v>26</v>
      </c>
      <c r="L78">
        <v>0</v>
      </c>
      <c r="M78" t="s">
        <v>497</v>
      </c>
      <c r="N78" t="s">
        <v>440</v>
      </c>
    </row>
    <row r="79" spans="1:14" x14ac:dyDescent="0.25">
      <c r="A79">
        <v>215066</v>
      </c>
      <c r="B79" t="s">
        <v>352</v>
      </c>
      <c r="C79" t="s">
        <v>343</v>
      </c>
      <c r="D79" t="s">
        <v>427</v>
      </c>
      <c r="E79" t="s">
        <v>441</v>
      </c>
      <c r="F79" t="s">
        <v>8</v>
      </c>
      <c r="G79" t="s">
        <v>442</v>
      </c>
      <c r="H79" t="s">
        <v>8</v>
      </c>
      <c r="I79" t="s">
        <v>442</v>
      </c>
      <c r="J79" t="s">
        <v>387</v>
      </c>
      <c r="K79">
        <v>30</v>
      </c>
      <c r="L79">
        <v>0</v>
      </c>
      <c r="M79" t="s">
        <v>9</v>
      </c>
      <c r="N79" t="s">
        <v>442</v>
      </c>
    </row>
    <row r="80" spans="1:14" x14ac:dyDescent="0.25">
      <c r="A80">
        <v>215066</v>
      </c>
      <c r="B80" t="s">
        <v>352</v>
      </c>
      <c r="C80" t="s">
        <v>343</v>
      </c>
      <c r="D80" t="s">
        <v>427</v>
      </c>
      <c r="E80" t="s">
        <v>443</v>
      </c>
      <c r="F80" t="s">
        <v>8</v>
      </c>
      <c r="G80" t="s">
        <v>444</v>
      </c>
      <c r="H80" t="s">
        <v>8</v>
      </c>
      <c r="I80" t="s">
        <v>444</v>
      </c>
      <c r="J80" t="s">
        <v>387</v>
      </c>
      <c r="K80">
        <v>2</v>
      </c>
      <c r="L80">
        <v>1</v>
      </c>
      <c r="M80" t="s">
        <v>9</v>
      </c>
      <c r="N80" t="s">
        <v>444</v>
      </c>
    </row>
    <row r="81" spans="1:14" x14ac:dyDescent="0.25">
      <c r="A81">
        <v>215066</v>
      </c>
      <c r="B81" t="s">
        <v>352</v>
      </c>
      <c r="C81" t="s">
        <v>343</v>
      </c>
      <c r="D81" t="s">
        <v>448</v>
      </c>
      <c r="E81" t="s">
        <v>449</v>
      </c>
      <c r="F81" t="s">
        <v>450</v>
      </c>
      <c r="G81" t="s">
        <v>451</v>
      </c>
      <c r="H81" t="s">
        <v>8</v>
      </c>
      <c r="I81" t="s">
        <v>451</v>
      </c>
      <c r="J81" t="s">
        <v>387</v>
      </c>
      <c r="K81">
        <v>1</v>
      </c>
      <c r="L81">
        <v>0</v>
      </c>
      <c r="M81" t="s">
        <v>9</v>
      </c>
      <c r="N81" t="s">
        <v>451</v>
      </c>
    </row>
    <row r="82" spans="1:14" x14ac:dyDescent="0.25">
      <c r="A82">
        <v>215066</v>
      </c>
      <c r="B82" t="s">
        <v>352</v>
      </c>
      <c r="C82" t="s">
        <v>343</v>
      </c>
      <c r="D82" t="s">
        <v>452</v>
      </c>
      <c r="E82" t="s">
        <v>453</v>
      </c>
      <c r="F82" t="s">
        <v>8</v>
      </c>
      <c r="G82" t="s">
        <v>457</v>
      </c>
      <c r="H82" t="s">
        <v>458</v>
      </c>
      <c r="I82" t="s">
        <v>458</v>
      </c>
      <c r="J82" t="s">
        <v>387</v>
      </c>
      <c r="K82">
        <v>3</v>
      </c>
      <c r="L82">
        <v>0</v>
      </c>
      <c r="M82" t="s">
        <v>9</v>
      </c>
      <c r="N82" t="s">
        <v>458</v>
      </c>
    </row>
    <row r="83" spans="1:14" x14ac:dyDescent="0.25">
      <c r="A83">
        <v>215066</v>
      </c>
      <c r="B83" t="s">
        <v>352</v>
      </c>
      <c r="C83" t="s">
        <v>343</v>
      </c>
      <c r="D83" t="s">
        <v>452</v>
      </c>
      <c r="E83" t="s">
        <v>453</v>
      </c>
      <c r="F83" t="s">
        <v>454</v>
      </c>
      <c r="G83" t="s">
        <v>455</v>
      </c>
      <c r="H83" t="s">
        <v>456</v>
      </c>
      <c r="I83" t="s">
        <v>456</v>
      </c>
      <c r="J83" t="s">
        <v>387</v>
      </c>
      <c r="K83">
        <v>5</v>
      </c>
      <c r="L83">
        <v>1</v>
      </c>
      <c r="M83" t="s">
        <v>9</v>
      </c>
      <c r="N83" t="s">
        <v>456</v>
      </c>
    </row>
    <row r="84" spans="1:14" x14ac:dyDescent="0.25">
      <c r="A84">
        <v>215066</v>
      </c>
      <c r="B84" t="s">
        <v>352</v>
      </c>
      <c r="C84" t="s">
        <v>343</v>
      </c>
      <c r="D84" t="s">
        <v>452</v>
      </c>
      <c r="E84" t="s">
        <v>459</v>
      </c>
      <c r="F84" t="s">
        <v>460</v>
      </c>
      <c r="G84" t="s">
        <v>461</v>
      </c>
      <c r="H84" t="s">
        <v>8</v>
      </c>
      <c r="I84" t="s">
        <v>461</v>
      </c>
      <c r="J84" t="s">
        <v>387</v>
      </c>
      <c r="K84">
        <v>38</v>
      </c>
      <c r="L84">
        <v>0</v>
      </c>
      <c r="M84" t="s">
        <v>9</v>
      </c>
      <c r="N84" t="s">
        <v>461</v>
      </c>
    </row>
    <row r="85" spans="1:14" x14ac:dyDescent="0.25">
      <c r="A85">
        <v>215066</v>
      </c>
      <c r="B85" t="s">
        <v>352</v>
      </c>
      <c r="C85" t="s">
        <v>343</v>
      </c>
      <c r="D85" t="s">
        <v>452</v>
      </c>
      <c r="E85" t="s">
        <v>459</v>
      </c>
      <c r="F85" t="s">
        <v>8</v>
      </c>
      <c r="G85" t="s">
        <v>8</v>
      </c>
      <c r="H85" t="s">
        <v>8</v>
      </c>
      <c r="I85" t="s">
        <v>459</v>
      </c>
      <c r="J85" t="s">
        <v>387</v>
      </c>
      <c r="K85">
        <v>13</v>
      </c>
      <c r="L85">
        <v>0</v>
      </c>
      <c r="M85" t="s">
        <v>439</v>
      </c>
      <c r="N85" t="s">
        <v>459</v>
      </c>
    </row>
    <row r="86" spans="1:14" x14ac:dyDescent="0.25">
      <c r="A86">
        <v>215066</v>
      </c>
      <c r="B86" t="s">
        <v>352</v>
      </c>
      <c r="C86" t="s">
        <v>343</v>
      </c>
      <c r="D86" t="s">
        <v>462</v>
      </c>
      <c r="E86" t="s">
        <v>463</v>
      </c>
      <c r="F86" t="s">
        <v>8</v>
      </c>
      <c r="G86" t="s">
        <v>464</v>
      </c>
      <c r="H86" t="s">
        <v>465</v>
      </c>
      <c r="I86" t="s">
        <v>465</v>
      </c>
      <c r="J86" t="s">
        <v>387</v>
      </c>
      <c r="K86">
        <v>11</v>
      </c>
      <c r="L86">
        <v>0</v>
      </c>
      <c r="M86" t="s">
        <v>9</v>
      </c>
      <c r="N86" t="s">
        <v>465</v>
      </c>
    </row>
    <row r="87" spans="1:14" x14ac:dyDescent="0.25">
      <c r="A87">
        <v>215066</v>
      </c>
      <c r="B87" t="s">
        <v>352</v>
      </c>
      <c r="C87" t="s">
        <v>343</v>
      </c>
      <c r="D87" t="s">
        <v>462</v>
      </c>
      <c r="E87" t="s">
        <v>466</v>
      </c>
      <c r="F87" t="s">
        <v>8</v>
      </c>
      <c r="G87" t="s">
        <v>467</v>
      </c>
      <c r="H87" t="s">
        <v>8</v>
      </c>
      <c r="I87" t="s">
        <v>467</v>
      </c>
      <c r="J87" t="s">
        <v>387</v>
      </c>
      <c r="K87">
        <v>15</v>
      </c>
      <c r="L87">
        <v>0</v>
      </c>
      <c r="M87" t="s">
        <v>9</v>
      </c>
      <c r="N87" t="s">
        <v>467</v>
      </c>
    </row>
    <row r="88" spans="1:14" x14ac:dyDescent="0.25">
      <c r="A88">
        <v>215066</v>
      </c>
      <c r="B88" t="s">
        <v>352</v>
      </c>
      <c r="C88" t="s">
        <v>343</v>
      </c>
      <c r="D88" t="s">
        <v>462</v>
      </c>
      <c r="E88" t="s">
        <v>468</v>
      </c>
      <c r="F88" t="s">
        <v>469</v>
      </c>
      <c r="G88" t="s">
        <v>470</v>
      </c>
      <c r="H88" t="s">
        <v>8</v>
      </c>
      <c r="I88" t="s">
        <v>470</v>
      </c>
      <c r="J88" t="s">
        <v>387</v>
      </c>
      <c r="K88">
        <v>24</v>
      </c>
      <c r="L88">
        <v>2</v>
      </c>
      <c r="M88" t="s">
        <v>9</v>
      </c>
      <c r="N88" t="s">
        <v>470</v>
      </c>
    </row>
    <row r="89" spans="1:14" x14ac:dyDescent="0.25">
      <c r="A89">
        <v>215066</v>
      </c>
      <c r="B89" t="s">
        <v>352</v>
      </c>
      <c r="C89" t="s">
        <v>343</v>
      </c>
      <c r="D89" t="s">
        <v>462</v>
      </c>
      <c r="E89" t="s">
        <v>468</v>
      </c>
      <c r="F89" t="s">
        <v>8</v>
      </c>
      <c r="G89" t="s">
        <v>8</v>
      </c>
      <c r="H89" t="s">
        <v>8</v>
      </c>
      <c r="I89" t="s">
        <v>468</v>
      </c>
      <c r="J89" t="s">
        <v>398</v>
      </c>
      <c r="K89">
        <v>6</v>
      </c>
      <c r="L89">
        <v>0</v>
      </c>
      <c r="M89" t="s">
        <v>9</v>
      </c>
      <c r="N89" t="s">
        <v>468</v>
      </c>
    </row>
    <row r="90" spans="1:14" x14ac:dyDescent="0.25">
      <c r="A90">
        <v>215066</v>
      </c>
      <c r="B90" t="s">
        <v>352</v>
      </c>
      <c r="C90" t="s">
        <v>343</v>
      </c>
      <c r="D90" t="s">
        <v>462</v>
      </c>
      <c r="E90" t="s">
        <v>471</v>
      </c>
      <c r="F90" t="s">
        <v>498</v>
      </c>
      <c r="G90" t="s">
        <v>499</v>
      </c>
      <c r="H90" t="s">
        <v>8</v>
      </c>
      <c r="I90" t="s">
        <v>499</v>
      </c>
      <c r="J90" t="s">
        <v>387</v>
      </c>
      <c r="K90">
        <v>2</v>
      </c>
      <c r="L90">
        <v>0</v>
      </c>
      <c r="M90" t="s">
        <v>9</v>
      </c>
      <c r="N90" t="s">
        <v>499</v>
      </c>
    </row>
    <row r="91" spans="1:14" x14ac:dyDescent="0.25">
      <c r="A91">
        <v>215066</v>
      </c>
      <c r="B91" t="s">
        <v>352</v>
      </c>
      <c r="C91" t="s">
        <v>343</v>
      </c>
      <c r="D91" t="s">
        <v>462</v>
      </c>
      <c r="E91" t="s">
        <v>471</v>
      </c>
      <c r="F91" t="s">
        <v>8</v>
      </c>
      <c r="G91" t="s">
        <v>8</v>
      </c>
      <c r="H91" t="s">
        <v>8</v>
      </c>
      <c r="I91" t="s">
        <v>471</v>
      </c>
      <c r="J91" t="s">
        <v>387</v>
      </c>
      <c r="K91">
        <v>1</v>
      </c>
      <c r="L91">
        <v>0</v>
      </c>
      <c r="M91" t="s">
        <v>476</v>
      </c>
      <c r="N91" t="s">
        <v>471</v>
      </c>
    </row>
    <row r="92" spans="1:14" x14ac:dyDescent="0.25">
      <c r="A92">
        <v>215066</v>
      </c>
      <c r="B92" t="s">
        <v>352</v>
      </c>
      <c r="C92" t="s">
        <v>343</v>
      </c>
      <c r="D92" t="s">
        <v>462</v>
      </c>
      <c r="E92" t="s">
        <v>472</v>
      </c>
      <c r="F92" t="s">
        <v>473</v>
      </c>
      <c r="G92" t="s">
        <v>474</v>
      </c>
      <c r="H92" t="s">
        <v>8</v>
      </c>
      <c r="I92" t="s">
        <v>474</v>
      </c>
      <c r="J92" t="s">
        <v>387</v>
      </c>
      <c r="K92">
        <v>8</v>
      </c>
      <c r="L92">
        <v>0</v>
      </c>
      <c r="M92" t="s">
        <v>9</v>
      </c>
      <c r="N92" t="s">
        <v>474</v>
      </c>
    </row>
    <row r="93" spans="1:14" x14ac:dyDescent="0.25">
      <c r="A93">
        <v>215066</v>
      </c>
      <c r="B93" t="s">
        <v>352</v>
      </c>
      <c r="C93" t="s">
        <v>343</v>
      </c>
      <c r="D93" t="s">
        <v>477</v>
      </c>
      <c r="E93" t="s">
        <v>478</v>
      </c>
      <c r="F93" t="s">
        <v>8</v>
      </c>
      <c r="G93" t="s">
        <v>479</v>
      </c>
      <c r="H93" t="s">
        <v>8</v>
      </c>
      <c r="I93" t="s">
        <v>479</v>
      </c>
      <c r="J93" t="s">
        <v>391</v>
      </c>
      <c r="K93">
        <v>3</v>
      </c>
      <c r="L93">
        <v>0</v>
      </c>
      <c r="M93" t="s">
        <v>9</v>
      </c>
      <c r="N93" t="s">
        <v>479</v>
      </c>
    </row>
    <row r="94" spans="1:14" x14ac:dyDescent="0.25">
      <c r="A94">
        <v>215066</v>
      </c>
      <c r="B94" t="s">
        <v>352</v>
      </c>
      <c r="C94" t="s">
        <v>343</v>
      </c>
      <c r="D94" t="s">
        <v>477</v>
      </c>
      <c r="E94" t="s">
        <v>500</v>
      </c>
      <c r="F94" t="s">
        <v>8</v>
      </c>
      <c r="G94" t="s">
        <v>501</v>
      </c>
      <c r="H94" t="s">
        <v>8</v>
      </c>
      <c r="I94" t="s">
        <v>501</v>
      </c>
      <c r="J94" t="s">
        <v>391</v>
      </c>
      <c r="K94">
        <v>1</v>
      </c>
      <c r="L94">
        <v>0</v>
      </c>
      <c r="M94" t="s">
        <v>9</v>
      </c>
      <c r="N94" t="s">
        <v>8</v>
      </c>
    </row>
    <row r="95" spans="1:14" x14ac:dyDescent="0.25">
      <c r="A95">
        <v>215066</v>
      </c>
      <c r="B95" t="s">
        <v>352</v>
      </c>
      <c r="C95" t="s">
        <v>343</v>
      </c>
      <c r="D95" t="s">
        <v>477</v>
      </c>
      <c r="E95" t="s">
        <v>502</v>
      </c>
      <c r="F95" t="s">
        <v>8</v>
      </c>
      <c r="G95" t="s">
        <v>503</v>
      </c>
      <c r="H95" t="s">
        <v>8</v>
      </c>
      <c r="I95" t="s">
        <v>503</v>
      </c>
      <c r="J95" t="s">
        <v>391</v>
      </c>
      <c r="K95">
        <v>2</v>
      </c>
      <c r="L95">
        <v>0</v>
      </c>
      <c r="M95" t="s">
        <v>9</v>
      </c>
      <c r="N95" t="s">
        <v>503</v>
      </c>
    </row>
    <row r="96" spans="1:14" x14ac:dyDescent="0.25">
      <c r="A96">
        <v>215066</v>
      </c>
      <c r="B96" t="s">
        <v>352</v>
      </c>
      <c r="C96" t="s">
        <v>343</v>
      </c>
      <c r="D96" t="s">
        <v>477</v>
      </c>
      <c r="E96" t="s">
        <v>504</v>
      </c>
      <c r="F96" t="s">
        <v>8</v>
      </c>
      <c r="G96" t="s">
        <v>505</v>
      </c>
      <c r="H96" t="s">
        <v>8</v>
      </c>
      <c r="I96" t="s">
        <v>505</v>
      </c>
      <c r="J96" t="s">
        <v>391</v>
      </c>
      <c r="K96">
        <v>1</v>
      </c>
      <c r="L96">
        <v>0</v>
      </c>
      <c r="M96" t="s">
        <v>9</v>
      </c>
      <c r="N96" t="s">
        <v>505</v>
      </c>
    </row>
    <row r="97" spans="1:14" x14ac:dyDescent="0.25">
      <c r="A97">
        <v>215066</v>
      </c>
      <c r="B97" t="s">
        <v>352</v>
      </c>
      <c r="C97" t="s">
        <v>343</v>
      </c>
      <c r="D97" t="s">
        <v>477</v>
      </c>
      <c r="E97" t="s">
        <v>8</v>
      </c>
      <c r="F97" t="s">
        <v>8</v>
      </c>
      <c r="G97" t="s">
        <v>8</v>
      </c>
      <c r="H97" t="s">
        <v>8</v>
      </c>
      <c r="I97" t="s">
        <v>477</v>
      </c>
      <c r="J97" t="s">
        <v>391</v>
      </c>
      <c r="K97">
        <v>1</v>
      </c>
      <c r="L97">
        <v>0</v>
      </c>
      <c r="M97" t="s">
        <v>476</v>
      </c>
      <c r="N97" t="s">
        <v>477</v>
      </c>
    </row>
    <row r="98" spans="1:14" x14ac:dyDescent="0.25">
      <c r="A98">
        <v>215066</v>
      </c>
      <c r="B98" t="s">
        <v>352</v>
      </c>
      <c r="C98" t="s">
        <v>343</v>
      </c>
      <c r="D98" t="s">
        <v>480</v>
      </c>
      <c r="E98" t="s">
        <v>481</v>
      </c>
      <c r="F98" t="s">
        <v>8</v>
      </c>
      <c r="G98" t="s">
        <v>482</v>
      </c>
      <c r="H98" t="s">
        <v>8</v>
      </c>
      <c r="I98" t="s">
        <v>482</v>
      </c>
      <c r="J98" t="s">
        <v>391</v>
      </c>
      <c r="K98">
        <v>2</v>
      </c>
      <c r="L98">
        <v>0</v>
      </c>
      <c r="M98" t="s">
        <v>9</v>
      </c>
      <c r="N98" t="s">
        <v>482</v>
      </c>
    </row>
    <row r="99" spans="1:14" x14ac:dyDescent="0.25">
      <c r="A99">
        <v>215066</v>
      </c>
      <c r="B99" t="s">
        <v>352</v>
      </c>
      <c r="C99" t="s">
        <v>343</v>
      </c>
      <c r="D99" t="s">
        <v>8</v>
      </c>
      <c r="E99" t="s">
        <v>8</v>
      </c>
      <c r="F99" t="s">
        <v>8</v>
      </c>
      <c r="G99" t="s">
        <v>8</v>
      </c>
      <c r="H99" t="s">
        <v>8</v>
      </c>
      <c r="I99" t="s">
        <v>483</v>
      </c>
      <c r="J99" t="s">
        <v>391</v>
      </c>
      <c r="K99">
        <v>18</v>
      </c>
      <c r="L99">
        <v>1</v>
      </c>
      <c r="M99" t="s">
        <v>9</v>
      </c>
      <c r="N99" t="s">
        <v>483</v>
      </c>
    </row>
    <row r="100" spans="1:14" x14ac:dyDescent="0.25">
      <c r="A100">
        <v>215066</v>
      </c>
      <c r="B100" t="s">
        <v>352</v>
      </c>
      <c r="C100" t="s">
        <v>343</v>
      </c>
      <c r="D100" t="s">
        <v>8</v>
      </c>
      <c r="E100" t="s">
        <v>8</v>
      </c>
      <c r="F100" t="s">
        <v>8</v>
      </c>
      <c r="G100" t="s">
        <v>8</v>
      </c>
      <c r="H100" t="s">
        <v>8</v>
      </c>
      <c r="I100" t="s">
        <v>484</v>
      </c>
      <c r="J100" t="s">
        <v>391</v>
      </c>
      <c r="K100">
        <v>2</v>
      </c>
      <c r="L100">
        <v>0</v>
      </c>
      <c r="M100" t="s">
        <v>9</v>
      </c>
      <c r="N100" t="s">
        <v>484</v>
      </c>
    </row>
    <row r="101" spans="1:14" x14ac:dyDescent="0.25">
      <c r="A101">
        <v>215067</v>
      </c>
      <c r="B101" t="s">
        <v>355</v>
      </c>
      <c r="C101" t="s">
        <v>343</v>
      </c>
      <c r="D101" t="s">
        <v>485</v>
      </c>
      <c r="E101" t="s">
        <v>506</v>
      </c>
      <c r="F101" t="s">
        <v>8</v>
      </c>
      <c r="G101" t="s">
        <v>507</v>
      </c>
      <c r="H101" t="s">
        <v>8</v>
      </c>
      <c r="I101" t="s">
        <v>507</v>
      </c>
      <c r="J101" t="s">
        <v>391</v>
      </c>
      <c r="K101">
        <v>1</v>
      </c>
      <c r="L101">
        <v>0</v>
      </c>
      <c r="M101" t="s">
        <v>9</v>
      </c>
      <c r="N101" t="s">
        <v>507</v>
      </c>
    </row>
    <row r="102" spans="1:14" x14ac:dyDescent="0.25">
      <c r="A102">
        <v>215067</v>
      </c>
      <c r="B102" t="s">
        <v>355</v>
      </c>
      <c r="C102" t="s">
        <v>343</v>
      </c>
      <c r="D102" t="s">
        <v>485</v>
      </c>
      <c r="E102" t="s">
        <v>508</v>
      </c>
      <c r="F102" t="s">
        <v>8</v>
      </c>
      <c r="G102" t="s">
        <v>509</v>
      </c>
      <c r="H102" t="s">
        <v>8</v>
      </c>
      <c r="I102" t="s">
        <v>509</v>
      </c>
      <c r="J102" t="s">
        <v>391</v>
      </c>
      <c r="K102">
        <v>2</v>
      </c>
      <c r="L102">
        <v>0</v>
      </c>
      <c r="M102" t="s">
        <v>9</v>
      </c>
      <c r="N102" t="s">
        <v>509</v>
      </c>
    </row>
    <row r="103" spans="1:14" x14ac:dyDescent="0.25">
      <c r="A103">
        <v>215067</v>
      </c>
      <c r="B103" t="s">
        <v>355</v>
      </c>
      <c r="C103" t="s">
        <v>343</v>
      </c>
      <c r="D103" t="s">
        <v>384</v>
      </c>
      <c r="E103" t="s">
        <v>385</v>
      </c>
      <c r="F103" t="s">
        <v>8</v>
      </c>
      <c r="G103" t="s">
        <v>386</v>
      </c>
      <c r="H103" t="s">
        <v>8</v>
      </c>
      <c r="I103" t="s">
        <v>386</v>
      </c>
      <c r="J103" t="s">
        <v>387</v>
      </c>
      <c r="K103">
        <v>22</v>
      </c>
      <c r="L103">
        <v>0</v>
      </c>
      <c r="M103" t="s">
        <v>9</v>
      </c>
      <c r="N103" t="s">
        <v>386</v>
      </c>
    </row>
    <row r="104" spans="1:14" x14ac:dyDescent="0.25">
      <c r="A104">
        <v>215067</v>
      </c>
      <c r="B104" t="s">
        <v>355</v>
      </c>
      <c r="C104" t="s">
        <v>343</v>
      </c>
      <c r="D104" t="s">
        <v>393</v>
      </c>
      <c r="E104" t="s">
        <v>394</v>
      </c>
      <c r="F104" t="s">
        <v>395</v>
      </c>
      <c r="G104" t="s">
        <v>396</v>
      </c>
      <c r="H104" t="s">
        <v>8</v>
      </c>
      <c r="I104" t="s">
        <v>396</v>
      </c>
      <c r="J104" t="s">
        <v>387</v>
      </c>
      <c r="K104">
        <v>5</v>
      </c>
      <c r="L104">
        <v>0</v>
      </c>
      <c r="M104" t="s">
        <v>9</v>
      </c>
      <c r="N104" t="s">
        <v>396</v>
      </c>
    </row>
    <row r="105" spans="1:14" x14ac:dyDescent="0.25">
      <c r="A105">
        <v>215067</v>
      </c>
      <c r="B105" t="s">
        <v>355</v>
      </c>
      <c r="C105" t="s">
        <v>343</v>
      </c>
      <c r="D105" t="s">
        <v>393</v>
      </c>
      <c r="E105" t="s">
        <v>397</v>
      </c>
      <c r="F105" t="s">
        <v>8</v>
      </c>
      <c r="G105" t="s">
        <v>8</v>
      </c>
      <c r="H105" t="s">
        <v>8</v>
      </c>
      <c r="I105" t="s">
        <v>397</v>
      </c>
      <c r="J105" t="s">
        <v>398</v>
      </c>
      <c r="K105">
        <v>19</v>
      </c>
      <c r="L105">
        <v>0</v>
      </c>
      <c r="M105" t="s">
        <v>9</v>
      </c>
      <c r="N105" t="s">
        <v>397</v>
      </c>
    </row>
    <row r="106" spans="1:14" x14ac:dyDescent="0.25">
      <c r="A106">
        <v>215067</v>
      </c>
      <c r="B106" t="s">
        <v>355</v>
      </c>
      <c r="C106" t="s">
        <v>343</v>
      </c>
      <c r="D106" t="s">
        <v>393</v>
      </c>
      <c r="E106" t="s">
        <v>397</v>
      </c>
      <c r="F106" t="s">
        <v>510</v>
      </c>
      <c r="G106" t="s">
        <v>511</v>
      </c>
      <c r="H106" t="s">
        <v>8</v>
      </c>
      <c r="I106" t="s">
        <v>511</v>
      </c>
      <c r="J106" t="s">
        <v>387</v>
      </c>
      <c r="K106">
        <v>18</v>
      </c>
      <c r="L106">
        <v>0</v>
      </c>
      <c r="M106" t="s">
        <v>9</v>
      </c>
      <c r="N106" t="s">
        <v>511</v>
      </c>
    </row>
    <row r="107" spans="1:14" x14ac:dyDescent="0.25">
      <c r="A107">
        <v>215067</v>
      </c>
      <c r="B107" t="s">
        <v>355</v>
      </c>
      <c r="C107" t="s">
        <v>343</v>
      </c>
      <c r="D107" t="s">
        <v>393</v>
      </c>
      <c r="E107" t="s">
        <v>397</v>
      </c>
      <c r="F107" t="s">
        <v>399</v>
      </c>
      <c r="G107" t="s">
        <v>512</v>
      </c>
      <c r="H107" t="s">
        <v>8</v>
      </c>
      <c r="I107" t="s">
        <v>512</v>
      </c>
      <c r="J107" t="s">
        <v>387</v>
      </c>
      <c r="K107">
        <v>5</v>
      </c>
      <c r="L107">
        <v>0</v>
      </c>
      <c r="M107" t="s">
        <v>9</v>
      </c>
      <c r="N107" t="s">
        <v>512</v>
      </c>
    </row>
    <row r="108" spans="1:14" x14ac:dyDescent="0.25">
      <c r="A108">
        <v>215067</v>
      </c>
      <c r="B108" t="s">
        <v>355</v>
      </c>
      <c r="C108" t="s">
        <v>343</v>
      </c>
      <c r="D108" t="s">
        <v>393</v>
      </c>
      <c r="E108" t="s">
        <v>397</v>
      </c>
      <c r="F108" t="s">
        <v>405</v>
      </c>
      <c r="G108" t="s">
        <v>489</v>
      </c>
      <c r="H108" t="s">
        <v>8</v>
      </c>
      <c r="I108" t="s">
        <v>489</v>
      </c>
      <c r="J108" t="s">
        <v>387</v>
      </c>
      <c r="K108">
        <v>1</v>
      </c>
      <c r="L108">
        <v>0</v>
      </c>
      <c r="M108" t="s">
        <v>9</v>
      </c>
      <c r="N108" t="s">
        <v>489</v>
      </c>
    </row>
    <row r="109" spans="1:14" x14ac:dyDescent="0.25">
      <c r="A109">
        <v>215067</v>
      </c>
      <c r="B109" t="s">
        <v>355</v>
      </c>
      <c r="C109" t="s">
        <v>343</v>
      </c>
      <c r="D109" t="s">
        <v>393</v>
      </c>
      <c r="E109" t="s">
        <v>397</v>
      </c>
      <c r="F109" t="s">
        <v>399</v>
      </c>
      <c r="G109" t="s">
        <v>513</v>
      </c>
      <c r="H109" t="s">
        <v>8</v>
      </c>
      <c r="I109" t="s">
        <v>513</v>
      </c>
      <c r="J109" t="s">
        <v>387</v>
      </c>
      <c r="K109">
        <v>6</v>
      </c>
      <c r="L109">
        <v>0</v>
      </c>
      <c r="M109" t="s">
        <v>9</v>
      </c>
      <c r="N109" t="s">
        <v>513</v>
      </c>
    </row>
    <row r="110" spans="1:14" x14ac:dyDescent="0.25">
      <c r="A110">
        <v>215067</v>
      </c>
      <c r="B110" t="s">
        <v>355</v>
      </c>
      <c r="C110" t="s">
        <v>343</v>
      </c>
      <c r="D110" t="s">
        <v>393</v>
      </c>
      <c r="E110" t="s">
        <v>397</v>
      </c>
      <c r="F110" t="s">
        <v>401</v>
      </c>
      <c r="G110" t="s">
        <v>402</v>
      </c>
      <c r="H110" t="s">
        <v>8</v>
      </c>
      <c r="I110" t="s">
        <v>402</v>
      </c>
      <c r="J110" t="s">
        <v>387</v>
      </c>
      <c r="K110">
        <v>1</v>
      </c>
      <c r="L110">
        <v>0</v>
      </c>
      <c r="M110" t="s">
        <v>9</v>
      </c>
      <c r="N110" t="s">
        <v>402</v>
      </c>
    </row>
    <row r="111" spans="1:14" x14ac:dyDescent="0.25">
      <c r="A111">
        <v>215067</v>
      </c>
      <c r="B111" t="s">
        <v>355</v>
      </c>
      <c r="C111" t="s">
        <v>343</v>
      </c>
      <c r="D111" t="s">
        <v>393</v>
      </c>
      <c r="E111" t="s">
        <v>397</v>
      </c>
      <c r="F111" t="s">
        <v>399</v>
      </c>
      <c r="G111" t="s">
        <v>514</v>
      </c>
      <c r="H111" t="s">
        <v>8</v>
      </c>
      <c r="I111" t="s">
        <v>514</v>
      </c>
      <c r="J111" t="s">
        <v>387</v>
      </c>
      <c r="K111">
        <v>1</v>
      </c>
      <c r="L111">
        <v>0</v>
      </c>
      <c r="M111" t="s">
        <v>9</v>
      </c>
      <c r="N111" t="s">
        <v>514</v>
      </c>
    </row>
    <row r="112" spans="1:14" x14ac:dyDescent="0.25">
      <c r="A112">
        <v>215067</v>
      </c>
      <c r="B112" t="s">
        <v>355</v>
      </c>
      <c r="C112" t="s">
        <v>343</v>
      </c>
      <c r="D112" t="s">
        <v>393</v>
      </c>
      <c r="E112" t="s">
        <v>397</v>
      </c>
      <c r="F112" t="s">
        <v>399</v>
      </c>
      <c r="G112" t="s">
        <v>515</v>
      </c>
      <c r="H112" t="s">
        <v>8</v>
      </c>
      <c r="I112" t="s">
        <v>515</v>
      </c>
      <c r="J112" t="s">
        <v>387</v>
      </c>
      <c r="K112">
        <v>28</v>
      </c>
      <c r="L112">
        <v>0</v>
      </c>
      <c r="M112" t="s">
        <v>9</v>
      </c>
      <c r="N112" t="s">
        <v>515</v>
      </c>
    </row>
    <row r="113" spans="1:14" x14ac:dyDescent="0.25">
      <c r="A113">
        <v>215067</v>
      </c>
      <c r="B113" t="s">
        <v>355</v>
      </c>
      <c r="C113" t="s">
        <v>343</v>
      </c>
      <c r="D113" t="s">
        <v>393</v>
      </c>
      <c r="E113" t="s">
        <v>397</v>
      </c>
      <c r="F113" t="s">
        <v>399</v>
      </c>
      <c r="G113" t="s">
        <v>516</v>
      </c>
      <c r="H113" t="s">
        <v>8</v>
      </c>
      <c r="I113" t="s">
        <v>516</v>
      </c>
      <c r="J113" t="s">
        <v>387</v>
      </c>
      <c r="K113">
        <v>1</v>
      </c>
      <c r="L113">
        <v>0</v>
      </c>
      <c r="M113" t="s">
        <v>9</v>
      </c>
      <c r="N113" t="s">
        <v>516</v>
      </c>
    </row>
    <row r="114" spans="1:14" x14ac:dyDescent="0.25">
      <c r="A114">
        <v>215067</v>
      </c>
      <c r="B114" t="s">
        <v>355</v>
      </c>
      <c r="C114" t="s">
        <v>343</v>
      </c>
      <c r="D114" t="s">
        <v>393</v>
      </c>
      <c r="E114" t="s">
        <v>397</v>
      </c>
      <c r="F114" t="s">
        <v>405</v>
      </c>
      <c r="G114" t="s">
        <v>517</v>
      </c>
      <c r="H114" t="s">
        <v>8</v>
      </c>
      <c r="I114" t="s">
        <v>517</v>
      </c>
      <c r="J114" t="s">
        <v>387</v>
      </c>
      <c r="K114">
        <v>11</v>
      </c>
      <c r="L114">
        <v>0</v>
      </c>
      <c r="M114" t="s">
        <v>9</v>
      </c>
      <c r="N114" t="s">
        <v>517</v>
      </c>
    </row>
    <row r="115" spans="1:14" x14ac:dyDescent="0.25">
      <c r="A115">
        <v>215067</v>
      </c>
      <c r="B115" t="s">
        <v>355</v>
      </c>
      <c r="C115" t="s">
        <v>343</v>
      </c>
      <c r="D115" t="s">
        <v>393</v>
      </c>
      <c r="E115" t="s">
        <v>397</v>
      </c>
      <c r="F115" t="s">
        <v>405</v>
      </c>
      <c r="G115" t="s">
        <v>416</v>
      </c>
      <c r="H115" t="s">
        <v>8</v>
      </c>
      <c r="I115" t="s">
        <v>416</v>
      </c>
      <c r="J115" t="s">
        <v>387</v>
      </c>
      <c r="K115">
        <v>1</v>
      </c>
      <c r="L115">
        <v>0</v>
      </c>
      <c r="M115" t="s">
        <v>9</v>
      </c>
      <c r="N115" t="s">
        <v>416</v>
      </c>
    </row>
    <row r="116" spans="1:14" x14ac:dyDescent="0.25">
      <c r="A116">
        <v>215067</v>
      </c>
      <c r="B116" t="s">
        <v>355</v>
      </c>
      <c r="C116" t="s">
        <v>343</v>
      </c>
      <c r="D116" t="s">
        <v>393</v>
      </c>
      <c r="E116" t="s">
        <v>397</v>
      </c>
      <c r="F116" t="s">
        <v>405</v>
      </c>
      <c r="G116" t="s">
        <v>418</v>
      </c>
      <c r="H116" t="s">
        <v>8</v>
      </c>
      <c r="I116" t="s">
        <v>418</v>
      </c>
      <c r="J116" t="s">
        <v>387</v>
      </c>
      <c r="K116">
        <v>19</v>
      </c>
      <c r="L116">
        <v>0</v>
      </c>
      <c r="M116" t="s">
        <v>9</v>
      </c>
      <c r="N116" t="s">
        <v>418</v>
      </c>
    </row>
    <row r="117" spans="1:14" x14ac:dyDescent="0.25">
      <c r="A117">
        <v>215067</v>
      </c>
      <c r="B117" t="s">
        <v>355</v>
      </c>
      <c r="C117" t="s">
        <v>343</v>
      </c>
      <c r="D117" t="s">
        <v>393</v>
      </c>
      <c r="E117" t="s">
        <v>397</v>
      </c>
      <c r="F117" t="s">
        <v>405</v>
      </c>
      <c r="G117" t="s">
        <v>419</v>
      </c>
      <c r="H117" t="s">
        <v>8</v>
      </c>
      <c r="I117" t="s">
        <v>419</v>
      </c>
      <c r="J117" t="s">
        <v>387</v>
      </c>
      <c r="K117">
        <v>2</v>
      </c>
      <c r="L117">
        <v>0</v>
      </c>
      <c r="M117" t="s">
        <v>9</v>
      </c>
      <c r="N117" t="s">
        <v>419</v>
      </c>
    </row>
    <row r="118" spans="1:14" x14ac:dyDescent="0.25">
      <c r="A118">
        <v>215067</v>
      </c>
      <c r="B118" t="s">
        <v>355</v>
      </c>
      <c r="C118" t="s">
        <v>343</v>
      </c>
      <c r="D118" t="s">
        <v>393</v>
      </c>
      <c r="E118" t="s">
        <v>421</v>
      </c>
      <c r="F118" t="s">
        <v>422</v>
      </c>
      <c r="G118" t="s">
        <v>423</v>
      </c>
      <c r="H118" t="s">
        <v>8</v>
      </c>
      <c r="I118" t="s">
        <v>423</v>
      </c>
      <c r="J118" t="s">
        <v>387</v>
      </c>
      <c r="K118">
        <v>16</v>
      </c>
      <c r="L118">
        <v>0</v>
      </c>
      <c r="M118" t="s">
        <v>9</v>
      </c>
      <c r="N118" t="s">
        <v>423</v>
      </c>
    </row>
    <row r="119" spans="1:14" x14ac:dyDescent="0.25">
      <c r="A119">
        <v>215067</v>
      </c>
      <c r="B119" t="s">
        <v>355</v>
      </c>
      <c r="C119" t="s">
        <v>343</v>
      </c>
      <c r="D119" t="s">
        <v>393</v>
      </c>
      <c r="E119" t="s">
        <v>424</v>
      </c>
      <c r="F119" t="s">
        <v>425</v>
      </c>
      <c r="G119" t="s">
        <v>426</v>
      </c>
      <c r="H119" t="s">
        <v>8</v>
      </c>
      <c r="I119" t="s">
        <v>426</v>
      </c>
      <c r="J119" t="s">
        <v>387</v>
      </c>
      <c r="K119">
        <v>1</v>
      </c>
      <c r="L119">
        <v>0</v>
      </c>
      <c r="M119" t="s">
        <v>9</v>
      </c>
      <c r="N119" t="s">
        <v>426</v>
      </c>
    </row>
    <row r="120" spans="1:14" x14ac:dyDescent="0.25">
      <c r="A120">
        <v>215067</v>
      </c>
      <c r="B120" t="s">
        <v>355</v>
      </c>
      <c r="C120" t="s">
        <v>343</v>
      </c>
      <c r="D120" t="s">
        <v>427</v>
      </c>
      <c r="E120" t="s">
        <v>428</v>
      </c>
      <c r="F120" t="s">
        <v>8</v>
      </c>
      <c r="G120" t="s">
        <v>429</v>
      </c>
      <c r="H120" t="s">
        <v>8</v>
      </c>
      <c r="I120" t="s">
        <v>429</v>
      </c>
      <c r="J120" t="s">
        <v>387</v>
      </c>
      <c r="K120">
        <v>82</v>
      </c>
      <c r="L120">
        <v>0</v>
      </c>
      <c r="M120" t="s">
        <v>9</v>
      </c>
      <c r="N120" t="s">
        <v>429</v>
      </c>
    </row>
    <row r="121" spans="1:14" x14ac:dyDescent="0.25">
      <c r="A121">
        <v>215067</v>
      </c>
      <c r="B121" t="s">
        <v>355</v>
      </c>
      <c r="C121" t="s">
        <v>343</v>
      </c>
      <c r="D121" t="s">
        <v>427</v>
      </c>
      <c r="E121" t="s">
        <v>428</v>
      </c>
      <c r="F121" t="s">
        <v>8</v>
      </c>
      <c r="G121" t="s">
        <v>431</v>
      </c>
      <c r="H121" t="s">
        <v>432</v>
      </c>
      <c r="I121" t="s">
        <v>432</v>
      </c>
      <c r="J121" t="s">
        <v>387</v>
      </c>
      <c r="K121">
        <v>10</v>
      </c>
      <c r="L121">
        <v>0</v>
      </c>
      <c r="M121" t="s">
        <v>9</v>
      </c>
      <c r="N121" t="s">
        <v>432</v>
      </c>
    </row>
    <row r="122" spans="1:14" x14ac:dyDescent="0.25">
      <c r="A122">
        <v>215067</v>
      </c>
      <c r="B122" t="s">
        <v>355</v>
      </c>
      <c r="C122" t="s">
        <v>343</v>
      </c>
      <c r="D122" t="s">
        <v>427</v>
      </c>
      <c r="E122" t="s">
        <v>433</v>
      </c>
      <c r="F122" t="s">
        <v>8</v>
      </c>
      <c r="G122" t="s">
        <v>438</v>
      </c>
      <c r="H122" t="s">
        <v>8</v>
      </c>
      <c r="I122" t="s">
        <v>438</v>
      </c>
      <c r="J122" t="s">
        <v>387</v>
      </c>
      <c r="K122">
        <v>39</v>
      </c>
      <c r="L122">
        <v>0</v>
      </c>
      <c r="M122" t="s">
        <v>9</v>
      </c>
      <c r="N122" t="s">
        <v>438</v>
      </c>
    </row>
    <row r="123" spans="1:14" x14ac:dyDescent="0.25">
      <c r="A123">
        <v>215067</v>
      </c>
      <c r="B123" t="s">
        <v>355</v>
      </c>
      <c r="C123" t="s">
        <v>343</v>
      </c>
      <c r="D123" t="s">
        <v>427</v>
      </c>
      <c r="E123" t="s">
        <v>433</v>
      </c>
      <c r="F123" t="s">
        <v>8</v>
      </c>
      <c r="G123" t="s">
        <v>434</v>
      </c>
      <c r="H123" t="s">
        <v>435</v>
      </c>
      <c r="I123" t="s">
        <v>436</v>
      </c>
      <c r="J123" t="s">
        <v>387</v>
      </c>
      <c r="K123">
        <v>3</v>
      </c>
      <c r="L123">
        <v>0</v>
      </c>
      <c r="M123" t="s">
        <v>9</v>
      </c>
      <c r="N123" t="s">
        <v>437</v>
      </c>
    </row>
    <row r="124" spans="1:14" x14ac:dyDescent="0.25">
      <c r="A124">
        <v>215067</v>
      </c>
      <c r="B124" t="s">
        <v>355</v>
      </c>
      <c r="C124" t="s">
        <v>343</v>
      </c>
      <c r="D124" t="s">
        <v>427</v>
      </c>
      <c r="E124" t="s">
        <v>440</v>
      </c>
      <c r="F124" t="s">
        <v>8</v>
      </c>
      <c r="G124" t="s">
        <v>8</v>
      </c>
      <c r="H124" t="s">
        <v>8</v>
      </c>
      <c r="I124" t="s">
        <v>440</v>
      </c>
      <c r="J124" t="s">
        <v>387</v>
      </c>
      <c r="K124">
        <v>3</v>
      </c>
      <c r="L124">
        <v>0</v>
      </c>
      <c r="M124" t="s">
        <v>439</v>
      </c>
      <c r="N124" t="s">
        <v>440</v>
      </c>
    </row>
    <row r="125" spans="1:14" x14ac:dyDescent="0.25">
      <c r="A125">
        <v>215067</v>
      </c>
      <c r="B125" t="s">
        <v>355</v>
      </c>
      <c r="C125" t="s">
        <v>343</v>
      </c>
      <c r="D125" t="s">
        <v>427</v>
      </c>
      <c r="E125" t="s">
        <v>441</v>
      </c>
      <c r="F125" t="s">
        <v>8</v>
      </c>
      <c r="G125" t="s">
        <v>442</v>
      </c>
      <c r="H125" t="s">
        <v>8</v>
      </c>
      <c r="I125" t="s">
        <v>442</v>
      </c>
      <c r="J125" t="s">
        <v>387</v>
      </c>
      <c r="K125">
        <v>191</v>
      </c>
      <c r="L125">
        <v>0</v>
      </c>
      <c r="M125" t="s">
        <v>9</v>
      </c>
      <c r="N125" t="s">
        <v>442</v>
      </c>
    </row>
    <row r="126" spans="1:14" x14ac:dyDescent="0.25">
      <c r="A126">
        <v>215067</v>
      </c>
      <c r="B126" t="s">
        <v>355</v>
      </c>
      <c r="C126" t="s">
        <v>343</v>
      </c>
      <c r="D126" t="s">
        <v>427</v>
      </c>
      <c r="E126" t="s">
        <v>443</v>
      </c>
      <c r="F126" t="s">
        <v>8</v>
      </c>
      <c r="G126" t="s">
        <v>8</v>
      </c>
      <c r="H126" t="s">
        <v>8</v>
      </c>
      <c r="I126" t="s">
        <v>443</v>
      </c>
      <c r="J126" t="s">
        <v>387</v>
      </c>
      <c r="K126">
        <v>1</v>
      </c>
      <c r="L126">
        <v>0</v>
      </c>
      <c r="M126" t="s">
        <v>439</v>
      </c>
      <c r="N126" t="s">
        <v>443</v>
      </c>
    </row>
    <row r="127" spans="1:14" x14ac:dyDescent="0.25">
      <c r="A127">
        <v>215067</v>
      </c>
      <c r="B127" t="s">
        <v>355</v>
      </c>
      <c r="C127" t="s">
        <v>343</v>
      </c>
      <c r="D127" t="s">
        <v>427</v>
      </c>
      <c r="E127" t="s">
        <v>518</v>
      </c>
      <c r="F127" t="s">
        <v>8</v>
      </c>
      <c r="G127" t="s">
        <v>519</v>
      </c>
      <c r="H127" t="s">
        <v>8</v>
      </c>
      <c r="I127" t="s">
        <v>519</v>
      </c>
      <c r="J127" t="s">
        <v>387</v>
      </c>
      <c r="K127">
        <v>1</v>
      </c>
      <c r="L127">
        <v>0</v>
      </c>
      <c r="M127" t="s">
        <v>9</v>
      </c>
      <c r="N127" t="s">
        <v>519</v>
      </c>
    </row>
    <row r="128" spans="1:14" x14ac:dyDescent="0.25">
      <c r="A128">
        <v>215067</v>
      </c>
      <c r="B128" t="s">
        <v>355</v>
      </c>
      <c r="C128" t="s">
        <v>343</v>
      </c>
      <c r="D128" t="s">
        <v>445</v>
      </c>
      <c r="E128" t="s">
        <v>446</v>
      </c>
      <c r="F128" t="s">
        <v>8</v>
      </c>
      <c r="G128" t="s">
        <v>447</v>
      </c>
      <c r="H128" t="s">
        <v>8</v>
      </c>
      <c r="I128" t="s">
        <v>447</v>
      </c>
      <c r="J128" t="s">
        <v>391</v>
      </c>
      <c r="K128">
        <v>55</v>
      </c>
      <c r="L128">
        <v>0</v>
      </c>
      <c r="M128" t="s">
        <v>9</v>
      </c>
      <c r="N128" t="s">
        <v>447</v>
      </c>
    </row>
    <row r="129" spans="1:14" x14ac:dyDescent="0.25">
      <c r="A129">
        <v>215067</v>
      </c>
      <c r="B129" t="s">
        <v>355</v>
      </c>
      <c r="C129" t="s">
        <v>343</v>
      </c>
      <c r="D129" t="s">
        <v>520</v>
      </c>
      <c r="E129" t="s">
        <v>521</v>
      </c>
      <c r="F129" t="s">
        <v>8</v>
      </c>
      <c r="G129" t="s">
        <v>8</v>
      </c>
      <c r="H129" t="s">
        <v>8</v>
      </c>
      <c r="I129" t="s">
        <v>521</v>
      </c>
      <c r="J129" t="s">
        <v>387</v>
      </c>
      <c r="K129">
        <v>2</v>
      </c>
      <c r="L129">
        <v>0</v>
      </c>
      <c r="M129" t="s">
        <v>439</v>
      </c>
      <c r="N129" t="s">
        <v>521</v>
      </c>
    </row>
    <row r="130" spans="1:14" x14ac:dyDescent="0.25">
      <c r="A130">
        <v>215067</v>
      </c>
      <c r="B130" t="s">
        <v>355</v>
      </c>
      <c r="C130" t="s">
        <v>343</v>
      </c>
      <c r="D130" t="s">
        <v>452</v>
      </c>
      <c r="E130" t="s">
        <v>459</v>
      </c>
      <c r="F130" t="s">
        <v>460</v>
      </c>
      <c r="G130" t="s">
        <v>461</v>
      </c>
      <c r="H130" t="s">
        <v>8</v>
      </c>
      <c r="I130" t="s">
        <v>461</v>
      </c>
      <c r="J130" t="s">
        <v>387</v>
      </c>
      <c r="K130">
        <v>1</v>
      </c>
      <c r="L130">
        <v>0</v>
      </c>
      <c r="M130" t="s">
        <v>9</v>
      </c>
      <c r="N130" t="s">
        <v>461</v>
      </c>
    </row>
    <row r="131" spans="1:14" x14ac:dyDescent="0.25">
      <c r="A131">
        <v>215067</v>
      </c>
      <c r="B131" t="s">
        <v>355</v>
      </c>
      <c r="C131" t="s">
        <v>343</v>
      </c>
      <c r="D131" t="s">
        <v>462</v>
      </c>
      <c r="E131" t="s">
        <v>463</v>
      </c>
      <c r="F131" t="s">
        <v>8</v>
      </c>
      <c r="G131" t="s">
        <v>464</v>
      </c>
      <c r="H131" t="s">
        <v>465</v>
      </c>
      <c r="I131" t="s">
        <v>465</v>
      </c>
      <c r="J131" t="s">
        <v>387</v>
      </c>
      <c r="K131">
        <v>1</v>
      </c>
      <c r="L131">
        <v>0</v>
      </c>
      <c r="M131" t="s">
        <v>9</v>
      </c>
      <c r="N131" t="s">
        <v>465</v>
      </c>
    </row>
    <row r="132" spans="1:14" x14ac:dyDescent="0.25">
      <c r="A132">
        <v>215067</v>
      </c>
      <c r="B132" t="s">
        <v>355</v>
      </c>
      <c r="C132" t="s">
        <v>343</v>
      </c>
      <c r="D132" t="s">
        <v>462</v>
      </c>
      <c r="E132" t="s">
        <v>466</v>
      </c>
      <c r="F132" t="s">
        <v>8</v>
      </c>
      <c r="G132" t="s">
        <v>467</v>
      </c>
      <c r="H132" t="s">
        <v>8</v>
      </c>
      <c r="I132" t="s">
        <v>467</v>
      </c>
      <c r="J132" t="s">
        <v>387</v>
      </c>
      <c r="K132">
        <v>2</v>
      </c>
      <c r="L132">
        <v>0</v>
      </c>
      <c r="M132" t="s">
        <v>9</v>
      </c>
      <c r="N132" t="s">
        <v>467</v>
      </c>
    </row>
    <row r="133" spans="1:14" x14ac:dyDescent="0.25">
      <c r="A133">
        <v>215067</v>
      </c>
      <c r="B133" t="s">
        <v>355</v>
      </c>
      <c r="C133" t="s">
        <v>343</v>
      </c>
      <c r="D133" t="s">
        <v>480</v>
      </c>
      <c r="E133" t="s">
        <v>481</v>
      </c>
      <c r="F133" t="s">
        <v>8</v>
      </c>
      <c r="G133" t="s">
        <v>482</v>
      </c>
      <c r="H133" t="s">
        <v>8</v>
      </c>
      <c r="I133" t="s">
        <v>482</v>
      </c>
      <c r="J133" t="s">
        <v>391</v>
      </c>
      <c r="K133">
        <v>2</v>
      </c>
      <c r="L133">
        <v>0</v>
      </c>
      <c r="M133" t="s">
        <v>9</v>
      </c>
      <c r="N133" t="s">
        <v>482</v>
      </c>
    </row>
    <row r="134" spans="1:14" x14ac:dyDescent="0.25">
      <c r="A134">
        <v>215067</v>
      </c>
      <c r="B134" t="s">
        <v>355</v>
      </c>
      <c r="C134" t="s">
        <v>343</v>
      </c>
      <c r="D134" t="s">
        <v>8</v>
      </c>
      <c r="E134" t="s">
        <v>8</v>
      </c>
      <c r="F134" t="s">
        <v>8</v>
      </c>
      <c r="G134" t="s">
        <v>8</v>
      </c>
      <c r="H134" t="s">
        <v>8</v>
      </c>
      <c r="I134" t="s">
        <v>483</v>
      </c>
      <c r="J134" t="s">
        <v>391</v>
      </c>
      <c r="K134">
        <v>15</v>
      </c>
      <c r="L134">
        <v>0</v>
      </c>
      <c r="M134" t="s">
        <v>9</v>
      </c>
      <c r="N134" t="s">
        <v>483</v>
      </c>
    </row>
    <row r="135" spans="1:14" x14ac:dyDescent="0.25">
      <c r="A135">
        <v>215067</v>
      </c>
      <c r="B135" t="s">
        <v>355</v>
      </c>
      <c r="C135" t="s">
        <v>343</v>
      </c>
      <c r="D135" t="s">
        <v>8</v>
      </c>
      <c r="E135" t="s">
        <v>8</v>
      </c>
      <c r="F135" t="s">
        <v>8</v>
      </c>
      <c r="G135" t="s">
        <v>8</v>
      </c>
      <c r="H135" t="s">
        <v>8</v>
      </c>
      <c r="I135" t="s">
        <v>484</v>
      </c>
      <c r="J135" t="s">
        <v>391</v>
      </c>
      <c r="K135">
        <v>29</v>
      </c>
      <c r="L135">
        <v>0</v>
      </c>
      <c r="M135" t="s">
        <v>9</v>
      </c>
      <c r="N135" t="s">
        <v>484</v>
      </c>
    </row>
    <row r="136" spans="1:14" x14ac:dyDescent="0.25">
      <c r="A136">
        <v>215068</v>
      </c>
      <c r="B136" t="s">
        <v>358</v>
      </c>
      <c r="C136" t="s">
        <v>343</v>
      </c>
      <c r="D136" t="s">
        <v>485</v>
      </c>
      <c r="E136" t="s">
        <v>8</v>
      </c>
      <c r="F136" t="s">
        <v>8</v>
      </c>
      <c r="G136" t="s">
        <v>8</v>
      </c>
      <c r="H136" t="s">
        <v>8</v>
      </c>
      <c r="I136" t="s">
        <v>485</v>
      </c>
      <c r="J136" t="s">
        <v>391</v>
      </c>
      <c r="K136">
        <v>1</v>
      </c>
      <c r="L136">
        <v>0</v>
      </c>
      <c r="M136" t="s">
        <v>522</v>
      </c>
      <c r="N136" t="s">
        <v>485</v>
      </c>
    </row>
    <row r="137" spans="1:14" x14ac:dyDescent="0.25">
      <c r="A137">
        <v>215068</v>
      </c>
      <c r="B137" t="s">
        <v>358</v>
      </c>
      <c r="C137" t="s">
        <v>343</v>
      </c>
      <c r="D137" t="s">
        <v>384</v>
      </c>
      <c r="E137" t="s">
        <v>385</v>
      </c>
      <c r="F137" t="s">
        <v>8</v>
      </c>
      <c r="G137" t="s">
        <v>386</v>
      </c>
      <c r="H137" t="s">
        <v>8</v>
      </c>
      <c r="I137" t="s">
        <v>386</v>
      </c>
      <c r="J137" t="s">
        <v>387</v>
      </c>
      <c r="K137">
        <v>18</v>
      </c>
      <c r="L137">
        <v>0</v>
      </c>
      <c r="M137" t="s">
        <v>9</v>
      </c>
      <c r="N137" t="s">
        <v>386</v>
      </c>
    </row>
    <row r="138" spans="1:14" x14ac:dyDescent="0.25">
      <c r="A138">
        <v>215068</v>
      </c>
      <c r="B138" t="s">
        <v>358</v>
      </c>
      <c r="C138" t="s">
        <v>343</v>
      </c>
      <c r="D138" t="s">
        <v>384</v>
      </c>
      <c r="E138" t="s">
        <v>385</v>
      </c>
      <c r="F138" t="s">
        <v>8</v>
      </c>
      <c r="G138" t="s">
        <v>388</v>
      </c>
      <c r="H138" t="s">
        <v>389</v>
      </c>
      <c r="I138" t="s">
        <v>389</v>
      </c>
      <c r="J138" t="s">
        <v>387</v>
      </c>
      <c r="K138">
        <v>1</v>
      </c>
      <c r="L138">
        <v>0</v>
      </c>
      <c r="M138" t="s">
        <v>9</v>
      </c>
      <c r="N138" t="s">
        <v>389</v>
      </c>
    </row>
    <row r="139" spans="1:14" x14ac:dyDescent="0.25">
      <c r="A139">
        <v>215068</v>
      </c>
      <c r="B139" t="s">
        <v>358</v>
      </c>
      <c r="C139" t="s">
        <v>343</v>
      </c>
      <c r="D139" t="s">
        <v>384</v>
      </c>
      <c r="E139" t="s">
        <v>385</v>
      </c>
      <c r="F139" t="s">
        <v>8</v>
      </c>
      <c r="G139" t="s">
        <v>386</v>
      </c>
      <c r="H139" t="s">
        <v>390</v>
      </c>
      <c r="I139" t="s">
        <v>390</v>
      </c>
      <c r="J139" t="s">
        <v>391</v>
      </c>
      <c r="K139">
        <v>4</v>
      </c>
      <c r="L139">
        <v>0</v>
      </c>
      <c r="M139" t="s">
        <v>9</v>
      </c>
      <c r="N139" t="s">
        <v>390</v>
      </c>
    </row>
    <row r="140" spans="1:14" x14ac:dyDescent="0.25">
      <c r="A140">
        <v>215068</v>
      </c>
      <c r="B140" t="s">
        <v>358</v>
      </c>
      <c r="C140" t="s">
        <v>343</v>
      </c>
      <c r="D140" t="s">
        <v>384</v>
      </c>
      <c r="E140" t="s">
        <v>385</v>
      </c>
      <c r="F140" t="s">
        <v>8</v>
      </c>
      <c r="G140" t="s">
        <v>386</v>
      </c>
      <c r="H140" t="s">
        <v>392</v>
      </c>
      <c r="I140" t="s">
        <v>392</v>
      </c>
      <c r="J140" t="s">
        <v>391</v>
      </c>
      <c r="K140">
        <v>13</v>
      </c>
      <c r="L140">
        <v>0</v>
      </c>
      <c r="M140" t="s">
        <v>9</v>
      </c>
      <c r="N140" t="s">
        <v>392</v>
      </c>
    </row>
    <row r="141" spans="1:14" x14ac:dyDescent="0.25">
      <c r="A141">
        <v>215068</v>
      </c>
      <c r="B141" t="s">
        <v>358</v>
      </c>
      <c r="C141" t="s">
        <v>343</v>
      </c>
      <c r="D141" t="s">
        <v>393</v>
      </c>
      <c r="E141" t="s">
        <v>394</v>
      </c>
      <c r="F141" t="s">
        <v>395</v>
      </c>
      <c r="G141" t="s">
        <v>396</v>
      </c>
      <c r="H141" t="s">
        <v>8</v>
      </c>
      <c r="I141" t="s">
        <v>396</v>
      </c>
      <c r="J141" t="s">
        <v>387</v>
      </c>
      <c r="K141">
        <v>2</v>
      </c>
      <c r="L141">
        <v>0</v>
      </c>
      <c r="M141" t="s">
        <v>9</v>
      </c>
      <c r="N141" t="s">
        <v>396</v>
      </c>
    </row>
    <row r="142" spans="1:14" x14ac:dyDescent="0.25">
      <c r="A142">
        <v>215068</v>
      </c>
      <c r="B142" t="s">
        <v>358</v>
      </c>
      <c r="C142" t="s">
        <v>343</v>
      </c>
      <c r="D142" t="s">
        <v>393</v>
      </c>
      <c r="E142" t="s">
        <v>397</v>
      </c>
      <c r="F142" t="s">
        <v>8</v>
      </c>
      <c r="G142" t="s">
        <v>8</v>
      </c>
      <c r="H142" t="s">
        <v>8</v>
      </c>
      <c r="I142" t="s">
        <v>397</v>
      </c>
      <c r="J142" t="s">
        <v>398</v>
      </c>
      <c r="K142">
        <v>14</v>
      </c>
      <c r="L142">
        <v>0</v>
      </c>
      <c r="M142" t="s">
        <v>9</v>
      </c>
      <c r="N142" t="s">
        <v>397</v>
      </c>
    </row>
    <row r="143" spans="1:14" x14ac:dyDescent="0.25">
      <c r="A143">
        <v>215068</v>
      </c>
      <c r="B143" t="s">
        <v>358</v>
      </c>
      <c r="C143" t="s">
        <v>343</v>
      </c>
      <c r="D143" t="s">
        <v>393</v>
      </c>
      <c r="E143" t="s">
        <v>397</v>
      </c>
      <c r="F143" t="s">
        <v>405</v>
      </c>
      <c r="G143" t="s">
        <v>489</v>
      </c>
      <c r="H143" t="s">
        <v>8</v>
      </c>
      <c r="I143" t="s">
        <v>489</v>
      </c>
      <c r="J143" t="s">
        <v>387</v>
      </c>
      <c r="K143">
        <v>1</v>
      </c>
      <c r="L143">
        <v>0</v>
      </c>
      <c r="M143" t="s">
        <v>9</v>
      </c>
      <c r="N143" t="s">
        <v>489</v>
      </c>
    </row>
    <row r="144" spans="1:14" x14ac:dyDescent="0.25">
      <c r="A144">
        <v>215068</v>
      </c>
      <c r="B144" t="s">
        <v>358</v>
      </c>
      <c r="C144" t="s">
        <v>343</v>
      </c>
      <c r="D144" t="s">
        <v>393</v>
      </c>
      <c r="E144" t="s">
        <v>397</v>
      </c>
      <c r="F144" t="s">
        <v>401</v>
      </c>
      <c r="G144" t="s">
        <v>402</v>
      </c>
      <c r="H144" t="s">
        <v>8</v>
      </c>
      <c r="I144" t="s">
        <v>402</v>
      </c>
      <c r="J144" t="s">
        <v>387</v>
      </c>
      <c r="K144">
        <v>4</v>
      </c>
      <c r="L144">
        <v>0</v>
      </c>
      <c r="M144" t="s">
        <v>9</v>
      </c>
      <c r="N144" t="s">
        <v>402</v>
      </c>
    </row>
    <row r="145" spans="1:14" x14ac:dyDescent="0.25">
      <c r="A145">
        <v>215068</v>
      </c>
      <c r="B145" t="s">
        <v>358</v>
      </c>
      <c r="C145" t="s">
        <v>343</v>
      </c>
      <c r="D145" t="s">
        <v>393</v>
      </c>
      <c r="E145" t="s">
        <v>397</v>
      </c>
      <c r="F145" t="s">
        <v>399</v>
      </c>
      <c r="G145" t="s">
        <v>515</v>
      </c>
      <c r="H145" t="s">
        <v>8</v>
      </c>
      <c r="I145" t="s">
        <v>515</v>
      </c>
      <c r="J145" t="s">
        <v>387</v>
      </c>
      <c r="K145">
        <v>14</v>
      </c>
      <c r="L145">
        <v>0</v>
      </c>
      <c r="M145" t="s">
        <v>9</v>
      </c>
      <c r="N145" t="s">
        <v>515</v>
      </c>
    </row>
    <row r="146" spans="1:14" x14ac:dyDescent="0.25">
      <c r="A146">
        <v>215068</v>
      </c>
      <c r="B146" t="s">
        <v>358</v>
      </c>
      <c r="C146" t="s">
        <v>343</v>
      </c>
      <c r="D146" t="s">
        <v>393</v>
      </c>
      <c r="E146" t="s">
        <v>397</v>
      </c>
      <c r="F146" t="s">
        <v>399</v>
      </c>
      <c r="G146" t="s">
        <v>523</v>
      </c>
      <c r="H146" t="s">
        <v>8</v>
      </c>
      <c r="I146" t="s">
        <v>523</v>
      </c>
      <c r="J146" t="s">
        <v>387</v>
      </c>
      <c r="K146">
        <v>1</v>
      </c>
      <c r="L146">
        <v>0</v>
      </c>
      <c r="M146" t="s">
        <v>9</v>
      </c>
      <c r="N146" t="s">
        <v>8</v>
      </c>
    </row>
    <row r="147" spans="1:14" x14ac:dyDescent="0.25">
      <c r="A147">
        <v>215068</v>
      </c>
      <c r="B147" t="s">
        <v>358</v>
      </c>
      <c r="C147" t="s">
        <v>343</v>
      </c>
      <c r="D147" t="s">
        <v>393</v>
      </c>
      <c r="E147" t="s">
        <v>397</v>
      </c>
      <c r="F147" t="s">
        <v>399</v>
      </c>
      <c r="G147" t="s">
        <v>403</v>
      </c>
      <c r="H147" t="s">
        <v>8</v>
      </c>
      <c r="I147" t="s">
        <v>403</v>
      </c>
      <c r="J147" t="s">
        <v>387</v>
      </c>
      <c r="K147">
        <v>1</v>
      </c>
      <c r="L147">
        <v>0</v>
      </c>
      <c r="M147" t="s">
        <v>9</v>
      </c>
      <c r="N147" t="s">
        <v>403</v>
      </c>
    </row>
    <row r="148" spans="1:14" x14ac:dyDescent="0.25">
      <c r="A148">
        <v>215068</v>
      </c>
      <c r="B148" t="s">
        <v>358</v>
      </c>
      <c r="C148" t="s">
        <v>343</v>
      </c>
      <c r="D148" t="s">
        <v>393</v>
      </c>
      <c r="E148" t="s">
        <v>397</v>
      </c>
      <c r="F148" t="s">
        <v>405</v>
      </c>
      <c r="G148" t="s">
        <v>418</v>
      </c>
      <c r="H148" t="s">
        <v>8</v>
      </c>
      <c r="I148" t="s">
        <v>418</v>
      </c>
      <c r="J148" t="s">
        <v>387</v>
      </c>
      <c r="K148">
        <v>69</v>
      </c>
      <c r="L148">
        <v>0</v>
      </c>
      <c r="M148" t="s">
        <v>9</v>
      </c>
      <c r="N148" t="s">
        <v>418</v>
      </c>
    </row>
    <row r="149" spans="1:14" x14ac:dyDescent="0.25">
      <c r="A149">
        <v>215068</v>
      </c>
      <c r="B149" t="s">
        <v>358</v>
      </c>
      <c r="C149" t="s">
        <v>343</v>
      </c>
      <c r="D149" t="s">
        <v>393</v>
      </c>
      <c r="E149" t="s">
        <v>421</v>
      </c>
      <c r="F149" t="s">
        <v>422</v>
      </c>
      <c r="G149" t="s">
        <v>423</v>
      </c>
      <c r="H149" t="s">
        <v>8</v>
      </c>
      <c r="I149" t="s">
        <v>423</v>
      </c>
      <c r="J149" t="s">
        <v>387</v>
      </c>
      <c r="K149">
        <v>3</v>
      </c>
      <c r="L149">
        <v>0</v>
      </c>
      <c r="M149" t="s">
        <v>9</v>
      </c>
      <c r="N149" t="s">
        <v>423</v>
      </c>
    </row>
    <row r="150" spans="1:14" x14ac:dyDescent="0.25">
      <c r="A150">
        <v>215068</v>
      </c>
      <c r="B150" t="s">
        <v>358</v>
      </c>
      <c r="C150" t="s">
        <v>343</v>
      </c>
      <c r="D150" t="s">
        <v>427</v>
      </c>
      <c r="E150" t="s">
        <v>428</v>
      </c>
      <c r="F150" t="s">
        <v>8</v>
      </c>
      <c r="G150" t="s">
        <v>429</v>
      </c>
      <c r="H150" t="s">
        <v>8</v>
      </c>
      <c r="I150" t="s">
        <v>429</v>
      </c>
      <c r="J150" t="s">
        <v>387</v>
      </c>
      <c r="K150">
        <v>101</v>
      </c>
      <c r="L150">
        <v>0</v>
      </c>
      <c r="M150" t="s">
        <v>9</v>
      </c>
      <c r="N150" t="s">
        <v>429</v>
      </c>
    </row>
    <row r="151" spans="1:14" x14ac:dyDescent="0.25">
      <c r="A151">
        <v>215068</v>
      </c>
      <c r="B151" t="s">
        <v>358</v>
      </c>
      <c r="C151" t="s">
        <v>343</v>
      </c>
      <c r="D151" t="s">
        <v>427</v>
      </c>
      <c r="E151" t="s">
        <v>428</v>
      </c>
      <c r="F151" t="s">
        <v>8</v>
      </c>
      <c r="G151" t="s">
        <v>430</v>
      </c>
      <c r="H151" t="s">
        <v>8</v>
      </c>
      <c r="I151" t="s">
        <v>430</v>
      </c>
      <c r="J151" t="s">
        <v>387</v>
      </c>
      <c r="K151">
        <v>3</v>
      </c>
      <c r="L151">
        <v>0</v>
      </c>
      <c r="M151" t="s">
        <v>9</v>
      </c>
      <c r="N151" t="s">
        <v>430</v>
      </c>
    </row>
    <row r="152" spans="1:14" x14ac:dyDescent="0.25">
      <c r="A152">
        <v>215068</v>
      </c>
      <c r="B152" t="s">
        <v>358</v>
      </c>
      <c r="C152" t="s">
        <v>343</v>
      </c>
      <c r="D152" t="s">
        <v>427</v>
      </c>
      <c r="E152" t="s">
        <v>428</v>
      </c>
      <c r="F152" t="s">
        <v>8</v>
      </c>
      <c r="G152" t="s">
        <v>431</v>
      </c>
      <c r="H152" t="s">
        <v>432</v>
      </c>
      <c r="I152" t="s">
        <v>432</v>
      </c>
      <c r="J152" t="s">
        <v>387</v>
      </c>
      <c r="K152">
        <v>60</v>
      </c>
      <c r="L152">
        <v>0</v>
      </c>
      <c r="M152" t="s">
        <v>9</v>
      </c>
      <c r="N152" t="s">
        <v>432</v>
      </c>
    </row>
    <row r="153" spans="1:14" x14ac:dyDescent="0.25">
      <c r="A153">
        <v>215068</v>
      </c>
      <c r="B153" t="s">
        <v>358</v>
      </c>
      <c r="C153" t="s">
        <v>343</v>
      </c>
      <c r="D153" t="s">
        <v>427</v>
      </c>
      <c r="E153" t="s">
        <v>433</v>
      </c>
      <c r="F153" t="s">
        <v>8</v>
      </c>
      <c r="G153" t="s">
        <v>438</v>
      </c>
      <c r="H153" t="s">
        <v>8</v>
      </c>
      <c r="I153" t="s">
        <v>438</v>
      </c>
      <c r="J153" t="s">
        <v>387</v>
      </c>
      <c r="K153">
        <v>89</v>
      </c>
      <c r="L153">
        <v>0</v>
      </c>
      <c r="M153" t="s">
        <v>9</v>
      </c>
      <c r="N153" t="s">
        <v>438</v>
      </c>
    </row>
    <row r="154" spans="1:14" x14ac:dyDescent="0.25">
      <c r="A154">
        <v>215068</v>
      </c>
      <c r="B154" t="s">
        <v>358</v>
      </c>
      <c r="C154" t="s">
        <v>343</v>
      </c>
      <c r="D154" t="s">
        <v>427</v>
      </c>
      <c r="E154" t="s">
        <v>433</v>
      </c>
      <c r="F154" t="s">
        <v>8</v>
      </c>
      <c r="G154" t="s">
        <v>434</v>
      </c>
      <c r="H154" t="s">
        <v>435</v>
      </c>
      <c r="I154" t="s">
        <v>436</v>
      </c>
      <c r="J154" t="s">
        <v>387</v>
      </c>
      <c r="K154">
        <v>17</v>
      </c>
      <c r="L154">
        <v>0</v>
      </c>
      <c r="M154" t="s">
        <v>9</v>
      </c>
      <c r="N154" t="s">
        <v>437</v>
      </c>
    </row>
    <row r="155" spans="1:14" x14ac:dyDescent="0.25">
      <c r="A155">
        <v>215068</v>
      </c>
      <c r="B155" t="s">
        <v>358</v>
      </c>
      <c r="C155" t="s">
        <v>343</v>
      </c>
      <c r="D155" t="s">
        <v>427</v>
      </c>
      <c r="E155" t="s">
        <v>440</v>
      </c>
      <c r="F155" t="s">
        <v>8</v>
      </c>
      <c r="G155" t="s">
        <v>8</v>
      </c>
      <c r="H155" t="s">
        <v>8</v>
      </c>
      <c r="I155" t="s">
        <v>440</v>
      </c>
      <c r="J155" t="s">
        <v>387</v>
      </c>
      <c r="K155">
        <v>12</v>
      </c>
      <c r="L155">
        <v>0</v>
      </c>
      <c r="M155" t="s">
        <v>9</v>
      </c>
      <c r="N155" t="s">
        <v>440</v>
      </c>
    </row>
    <row r="156" spans="1:14" x14ac:dyDescent="0.25">
      <c r="A156">
        <v>215068</v>
      </c>
      <c r="B156" t="s">
        <v>358</v>
      </c>
      <c r="C156" t="s">
        <v>343</v>
      </c>
      <c r="D156" t="s">
        <v>427</v>
      </c>
      <c r="E156" t="s">
        <v>441</v>
      </c>
      <c r="F156" t="s">
        <v>8</v>
      </c>
      <c r="G156" t="s">
        <v>442</v>
      </c>
      <c r="H156" t="s">
        <v>8</v>
      </c>
      <c r="I156" t="s">
        <v>442</v>
      </c>
      <c r="J156" t="s">
        <v>387</v>
      </c>
      <c r="K156">
        <v>144</v>
      </c>
      <c r="L156">
        <v>0</v>
      </c>
      <c r="M156" t="s">
        <v>9</v>
      </c>
      <c r="N156" t="s">
        <v>442</v>
      </c>
    </row>
    <row r="157" spans="1:14" x14ac:dyDescent="0.25">
      <c r="A157">
        <v>215068</v>
      </c>
      <c r="B157" t="s">
        <v>358</v>
      </c>
      <c r="C157" t="s">
        <v>343</v>
      </c>
      <c r="D157" t="s">
        <v>427</v>
      </c>
      <c r="E157" t="s">
        <v>443</v>
      </c>
      <c r="F157" t="s">
        <v>8</v>
      </c>
      <c r="G157" t="s">
        <v>444</v>
      </c>
      <c r="H157" t="s">
        <v>8</v>
      </c>
      <c r="I157" t="s">
        <v>444</v>
      </c>
      <c r="J157" t="s">
        <v>387</v>
      </c>
      <c r="K157">
        <v>5</v>
      </c>
      <c r="L157">
        <v>0</v>
      </c>
      <c r="M157" t="s">
        <v>9</v>
      </c>
      <c r="N157" t="s">
        <v>444</v>
      </c>
    </row>
    <row r="158" spans="1:14" x14ac:dyDescent="0.25">
      <c r="A158">
        <v>215068</v>
      </c>
      <c r="B158" t="s">
        <v>358</v>
      </c>
      <c r="C158" t="s">
        <v>343</v>
      </c>
      <c r="D158" t="s">
        <v>445</v>
      </c>
      <c r="E158" t="s">
        <v>446</v>
      </c>
      <c r="F158" t="s">
        <v>8</v>
      </c>
      <c r="G158" t="s">
        <v>447</v>
      </c>
      <c r="H158" t="s">
        <v>8</v>
      </c>
      <c r="I158" t="s">
        <v>447</v>
      </c>
      <c r="J158" t="s">
        <v>391</v>
      </c>
      <c r="K158">
        <v>19</v>
      </c>
      <c r="L158">
        <v>0</v>
      </c>
      <c r="M158" t="s">
        <v>9</v>
      </c>
      <c r="N158" t="s">
        <v>447</v>
      </c>
    </row>
    <row r="159" spans="1:14" x14ac:dyDescent="0.25">
      <c r="A159">
        <v>215068</v>
      </c>
      <c r="B159" t="s">
        <v>358</v>
      </c>
      <c r="C159" t="s">
        <v>343</v>
      </c>
      <c r="D159" t="s">
        <v>520</v>
      </c>
      <c r="E159" t="s">
        <v>521</v>
      </c>
      <c r="F159" t="s">
        <v>8</v>
      </c>
      <c r="G159" t="s">
        <v>8</v>
      </c>
      <c r="H159" t="s">
        <v>8</v>
      </c>
      <c r="I159" t="s">
        <v>521</v>
      </c>
      <c r="J159" t="s">
        <v>387</v>
      </c>
      <c r="K159">
        <v>1</v>
      </c>
      <c r="L159">
        <v>0</v>
      </c>
      <c r="M159" t="s">
        <v>9</v>
      </c>
      <c r="N159" t="s">
        <v>521</v>
      </c>
    </row>
    <row r="160" spans="1:14" x14ac:dyDescent="0.25">
      <c r="A160">
        <v>215068</v>
      </c>
      <c r="B160" t="s">
        <v>358</v>
      </c>
      <c r="C160" t="s">
        <v>343</v>
      </c>
      <c r="D160" t="s">
        <v>520</v>
      </c>
      <c r="E160" t="s">
        <v>521</v>
      </c>
      <c r="F160" t="s">
        <v>8</v>
      </c>
      <c r="G160" t="s">
        <v>524</v>
      </c>
      <c r="H160" t="s">
        <v>525</v>
      </c>
      <c r="I160" t="s">
        <v>525</v>
      </c>
      <c r="J160" t="s">
        <v>387</v>
      </c>
      <c r="K160">
        <v>2</v>
      </c>
      <c r="L160">
        <v>0</v>
      </c>
      <c r="M160" t="s">
        <v>9</v>
      </c>
      <c r="N160" t="s">
        <v>525</v>
      </c>
    </row>
    <row r="161" spans="1:14" x14ac:dyDescent="0.25">
      <c r="A161">
        <v>215068</v>
      </c>
      <c r="B161" t="s">
        <v>358</v>
      </c>
      <c r="C161" t="s">
        <v>343</v>
      </c>
      <c r="D161" t="s">
        <v>452</v>
      </c>
      <c r="E161" t="s">
        <v>459</v>
      </c>
      <c r="F161" t="s">
        <v>460</v>
      </c>
      <c r="G161" t="s">
        <v>461</v>
      </c>
      <c r="H161" t="s">
        <v>8</v>
      </c>
      <c r="I161" t="s">
        <v>461</v>
      </c>
      <c r="J161" t="s">
        <v>387</v>
      </c>
      <c r="K161">
        <v>10</v>
      </c>
      <c r="L161">
        <v>0</v>
      </c>
      <c r="M161" t="s">
        <v>9</v>
      </c>
      <c r="N161" t="s">
        <v>461</v>
      </c>
    </row>
    <row r="162" spans="1:14" x14ac:dyDescent="0.25">
      <c r="A162">
        <v>215068</v>
      </c>
      <c r="B162" t="s">
        <v>358</v>
      </c>
      <c r="C162" t="s">
        <v>343</v>
      </c>
      <c r="D162" t="s">
        <v>452</v>
      </c>
      <c r="E162" t="s">
        <v>459</v>
      </c>
      <c r="F162" t="s">
        <v>8</v>
      </c>
      <c r="G162" t="s">
        <v>8</v>
      </c>
      <c r="H162" t="s">
        <v>8</v>
      </c>
      <c r="I162" t="s">
        <v>459</v>
      </c>
      <c r="J162" t="s">
        <v>387</v>
      </c>
      <c r="K162">
        <v>2</v>
      </c>
      <c r="L162">
        <v>0</v>
      </c>
      <c r="M162" t="s">
        <v>439</v>
      </c>
      <c r="N162" t="s">
        <v>459</v>
      </c>
    </row>
    <row r="163" spans="1:14" x14ac:dyDescent="0.25">
      <c r="A163">
        <v>215068</v>
      </c>
      <c r="B163" t="s">
        <v>358</v>
      </c>
      <c r="C163" t="s">
        <v>343</v>
      </c>
      <c r="D163" t="s">
        <v>462</v>
      </c>
      <c r="E163" t="s">
        <v>463</v>
      </c>
      <c r="F163" t="s">
        <v>8</v>
      </c>
      <c r="G163" t="s">
        <v>464</v>
      </c>
      <c r="H163" t="s">
        <v>465</v>
      </c>
      <c r="I163" t="s">
        <v>465</v>
      </c>
      <c r="J163" t="s">
        <v>387</v>
      </c>
      <c r="K163">
        <v>2</v>
      </c>
      <c r="L163">
        <v>0</v>
      </c>
      <c r="M163" t="s">
        <v>9</v>
      </c>
      <c r="N163" t="s">
        <v>465</v>
      </c>
    </row>
    <row r="164" spans="1:14" x14ac:dyDescent="0.25">
      <c r="A164">
        <v>215068</v>
      </c>
      <c r="B164" t="s">
        <v>358</v>
      </c>
      <c r="C164" t="s">
        <v>343</v>
      </c>
      <c r="D164" t="s">
        <v>462</v>
      </c>
      <c r="E164" t="s">
        <v>466</v>
      </c>
      <c r="F164" t="s">
        <v>8</v>
      </c>
      <c r="G164" t="s">
        <v>467</v>
      </c>
      <c r="H164" t="s">
        <v>8</v>
      </c>
      <c r="I164" t="s">
        <v>467</v>
      </c>
      <c r="J164" t="s">
        <v>387</v>
      </c>
      <c r="K164">
        <v>1</v>
      </c>
      <c r="L164">
        <v>0</v>
      </c>
      <c r="M164" t="s">
        <v>9</v>
      </c>
      <c r="N164" t="s">
        <v>467</v>
      </c>
    </row>
    <row r="165" spans="1:14" x14ac:dyDescent="0.25">
      <c r="A165">
        <v>215068</v>
      </c>
      <c r="B165" t="s">
        <v>358</v>
      </c>
      <c r="C165" t="s">
        <v>343</v>
      </c>
      <c r="D165" t="s">
        <v>462</v>
      </c>
      <c r="E165" t="s">
        <v>472</v>
      </c>
      <c r="F165" t="s">
        <v>473</v>
      </c>
      <c r="G165" t="s">
        <v>474</v>
      </c>
      <c r="H165" t="s">
        <v>8</v>
      </c>
      <c r="I165" t="s">
        <v>474</v>
      </c>
      <c r="J165" t="s">
        <v>387</v>
      </c>
      <c r="K165">
        <v>12</v>
      </c>
      <c r="L165">
        <v>0</v>
      </c>
      <c r="M165" t="s">
        <v>9</v>
      </c>
      <c r="N165" t="s">
        <v>474</v>
      </c>
    </row>
    <row r="166" spans="1:14" x14ac:dyDescent="0.25">
      <c r="A166">
        <v>215068</v>
      </c>
      <c r="B166" t="s">
        <v>358</v>
      </c>
      <c r="C166" t="s">
        <v>343</v>
      </c>
      <c r="D166" t="s">
        <v>477</v>
      </c>
      <c r="E166" t="s">
        <v>502</v>
      </c>
      <c r="F166" t="s">
        <v>8</v>
      </c>
      <c r="G166" t="s">
        <v>503</v>
      </c>
      <c r="H166" t="s">
        <v>8</v>
      </c>
      <c r="I166" t="s">
        <v>503</v>
      </c>
      <c r="J166" t="s">
        <v>391</v>
      </c>
      <c r="K166">
        <v>1</v>
      </c>
      <c r="L166">
        <v>0</v>
      </c>
      <c r="M166" t="s">
        <v>9</v>
      </c>
      <c r="N166" t="s">
        <v>503</v>
      </c>
    </row>
    <row r="167" spans="1:14" x14ac:dyDescent="0.25">
      <c r="A167">
        <v>215068</v>
      </c>
      <c r="B167" t="s">
        <v>358</v>
      </c>
      <c r="C167" t="s">
        <v>343</v>
      </c>
      <c r="D167" t="s">
        <v>480</v>
      </c>
      <c r="E167" t="s">
        <v>481</v>
      </c>
      <c r="F167" t="s">
        <v>8</v>
      </c>
      <c r="G167" t="s">
        <v>482</v>
      </c>
      <c r="H167" t="s">
        <v>8</v>
      </c>
      <c r="I167" t="s">
        <v>482</v>
      </c>
      <c r="J167" t="s">
        <v>391</v>
      </c>
      <c r="K167">
        <v>9</v>
      </c>
      <c r="L167">
        <v>0</v>
      </c>
      <c r="M167" t="s">
        <v>9</v>
      </c>
      <c r="N167" t="s">
        <v>482</v>
      </c>
    </row>
    <row r="168" spans="1:14" x14ac:dyDescent="0.25">
      <c r="A168">
        <v>215068</v>
      </c>
      <c r="B168" t="s">
        <v>358</v>
      </c>
      <c r="C168" t="s">
        <v>343</v>
      </c>
      <c r="D168" t="s">
        <v>8</v>
      </c>
      <c r="E168" t="s">
        <v>8</v>
      </c>
      <c r="F168" t="s">
        <v>8</v>
      </c>
      <c r="G168" t="s">
        <v>8</v>
      </c>
      <c r="H168" t="s">
        <v>8</v>
      </c>
      <c r="I168" t="s">
        <v>484</v>
      </c>
      <c r="J168" t="s">
        <v>391</v>
      </c>
      <c r="K168">
        <v>19</v>
      </c>
      <c r="L168">
        <v>0</v>
      </c>
      <c r="M168" t="s">
        <v>9</v>
      </c>
      <c r="N168" t="s">
        <v>484</v>
      </c>
    </row>
    <row r="169" spans="1:14" x14ac:dyDescent="0.25">
      <c r="A169">
        <v>215068</v>
      </c>
      <c r="B169" t="s">
        <v>358</v>
      </c>
      <c r="C169" t="s">
        <v>343</v>
      </c>
      <c r="D169" t="s">
        <v>8</v>
      </c>
      <c r="E169" t="s">
        <v>8</v>
      </c>
      <c r="F169" t="s">
        <v>8</v>
      </c>
      <c r="G169" t="s">
        <v>8</v>
      </c>
      <c r="H169" t="s">
        <v>8</v>
      </c>
      <c r="I169" t="s">
        <v>483</v>
      </c>
      <c r="J169" t="s">
        <v>391</v>
      </c>
      <c r="K169">
        <v>7</v>
      </c>
      <c r="L169">
        <v>0</v>
      </c>
      <c r="M169" t="s">
        <v>9</v>
      </c>
      <c r="N169" t="s">
        <v>483</v>
      </c>
    </row>
    <row r="170" spans="1:14" x14ac:dyDescent="0.25">
      <c r="A170">
        <v>215069</v>
      </c>
      <c r="B170" t="s">
        <v>360</v>
      </c>
      <c r="C170" t="s">
        <v>343</v>
      </c>
      <c r="D170" t="s">
        <v>485</v>
      </c>
      <c r="E170" t="s">
        <v>508</v>
      </c>
      <c r="F170" t="s">
        <v>8</v>
      </c>
      <c r="G170" t="s">
        <v>509</v>
      </c>
      <c r="H170" t="s">
        <v>8</v>
      </c>
      <c r="I170" t="s">
        <v>509</v>
      </c>
      <c r="J170" t="s">
        <v>391</v>
      </c>
      <c r="K170">
        <v>5</v>
      </c>
      <c r="L170">
        <v>0</v>
      </c>
      <c r="M170" t="s">
        <v>9</v>
      </c>
      <c r="N170" t="s">
        <v>509</v>
      </c>
    </row>
    <row r="171" spans="1:14" x14ac:dyDescent="0.25">
      <c r="A171">
        <v>215069</v>
      </c>
      <c r="B171" t="s">
        <v>360</v>
      </c>
      <c r="C171" t="s">
        <v>343</v>
      </c>
      <c r="D171" t="s">
        <v>486</v>
      </c>
      <c r="E171" t="s">
        <v>487</v>
      </c>
      <c r="F171" t="s">
        <v>8</v>
      </c>
      <c r="G171" t="s">
        <v>488</v>
      </c>
      <c r="H171" t="s">
        <v>8</v>
      </c>
      <c r="I171" t="s">
        <v>488</v>
      </c>
      <c r="J171" t="s">
        <v>391</v>
      </c>
      <c r="K171">
        <v>3</v>
      </c>
      <c r="L171">
        <v>0</v>
      </c>
      <c r="M171" t="s">
        <v>9</v>
      </c>
      <c r="N171" t="s">
        <v>488</v>
      </c>
    </row>
    <row r="172" spans="1:14" x14ac:dyDescent="0.25">
      <c r="A172">
        <v>215069</v>
      </c>
      <c r="B172" t="s">
        <v>360</v>
      </c>
      <c r="C172" t="s">
        <v>343</v>
      </c>
      <c r="D172" t="s">
        <v>384</v>
      </c>
      <c r="E172" t="s">
        <v>385</v>
      </c>
      <c r="F172" t="s">
        <v>8</v>
      </c>
      <c r="G172" t="s">
        <v>386</v>
      </c>
      <c r="H172" t="s">
        <v>8</v>
      </c>
      <c r="I172" t="s">
        <v>386</v>
      </c>
      <c r="J172" t="s">
        <v>387</v>
      </c>
      <c r="K172">
        <v>3</v>
      </c>
      <c r="L172">
        <v>0</v>
      </c>
      <c r="M172" t="s">
        <v>9</v>
      </c>
      <c r="N172" t="s">
        <v>386</v>
      </c>
    </row>
    <row r="173" spans="1:14" x14ac:dyDescent="0.25">
      <c r="A173">
        <v>215069</v>
      </c>
      <c r="B173" t="s">
        <v>360</v>
      </c>
      <c r="C173" t="s">
        <v>343</v>
      </c>
      <c r="D173" t="s">
        <v>384</v>
      </c>
      <c r="E173" t="s">
        <v>385</v>
      </c>
      <c r="F173" t="s">
        <v>8</v>
      </c>
      <c r="G173" t="s">
        <v>388</v>
      </c>
      <c r="H173" t="s">
        <v>389</v>
      </c>
      <c r="I173" t="s">
        <v>389</v>
      </c>
      <c r="J173" t="s">
        <v>387</v>
      </c>
      <c r="K173">
        <v>1</v>
      </c>
      <c r="L173">
        <v>0</v>
      </c>
      <c r="M173" t="s">
        <v>9</v>
      </c>
      <c r="N173" t="s">
        <v>389</v>
      </c>
    </row>
    <row r="174" spans="1:14" x14ac:dyDescent="0.25">
      <c r="A174">
        <v>215069</v>
      </c>
      <c r="B174" t="s">
        <v>360</v>
      </c>
      <c r="C174" t="s">
        <v>343</v>
      </c>
      <c r="D174" t="s">
        <v>384</v>
      </c>
      <c r="E174" t="s">
        <v>385</v>
      </c>
      <c r="F174" t="s">
        <v>8</v>
      </c>
      <c r="G174" t="s">
        <v>386</v>
      </c>
      <c r="H174" t="s">
        <v>392</v>
      </c>
      <c r="I174" t="s">
        <v>392</v>
      </c>
      <c r="J174" t="s">
        <v>391</v>
      </c>
      <c r="K174">
        <v>1</v>
      </c>
      <c r="L174">
        <v>0</v>
      </c>
      <c r="M174" t="s">
        <v>9</v>
      </c>
      <c r="N174" t="s">
        <v>392</v>
      </c>
    </row>
    <row r="175" spans="1:14" x14ac:dyDescent="0.25">
      <c r="A175">
        <v>215069</v>
      </c>
      <c r="B175" t="s">
        <v>360</v>
      </c>
      <c r="C175" t="s">
        <v>343</v>
      </c>
      <c r="D175" t="s">
        <v>393</v>
      </c>
      <c r="E175" t="s">
        <v>394</v>
      </c>
      <c r="F175" t="s">
        <v>395</v>
      </c>
      <c r="G175" t="s">
        <v>396</v>
      </c>
      <c r="H175" t="s">
        <v>8</v>
      </c>
      <c r="I175" t="s">
        <v>396</v>
      </c>
      <c r="J175" t="s">
        <v>387</v>
      </c>
      <c r="K175">
        <v>4</v>
      </c>
      <c r="L175">
        <v>0</v>
      </c>
      <c r="M175" t="s">
        <v>9</v>
      </c>
      <c r="N175" t="s">
        <v>396</v>
      </c>
    </row>
    <row r="176" spans="1:14" x14ac:dyDescent="0.25">
      <c r="A176">
        <v>215069</v>
      </c>
      <c r="B176" t="s">
        <v>360</v>
      </c>
      <c r="C176" t="s">
        <v>343</v>
      </c>
      <c r="D176" t="s">
        <v>393</v>
      </c>
      <c r="E176" t="s">
        <v>397</v>
      </c>
      <c r="F176" t="s">
        <v>8</v>
      </c>
      <c r="G176" t="s">
        <v>8</v>
      </c>
      <c r="H176" t="s">
        <v>8</v>
      </c>
      <c r="I176" t="s">
        <v>397</v>
      </c>
      <c r="J176" t="s">
        <v>398</v>
      </c>
      <c r="K176">
        <v>7</v>
      </c>
      <c r="L176">
        <v>0</v>
      </c>
      <c r="M176" t="s">
        <v>9</v>
      </c>
      <c r="N176" t="s">
        <v>397</v>
      </c>
    </row>
    <row r="177" spans="1:14" x14ac:dyDescent="0.25">
      <c r="A177">
        <v>215069</v>
      </c>
      <c r="B177" t="s">
        <v>360</v>
      </c>
      <c r="C177" t="s">
        <v>343</v>
      </c>
      <c r="D177" t="s">
        <v>393</v>
      </c>
      <c r="E177" t="s">
        <v>397</v>
      </c>
      <c r="F177" t="s">
        <v>399</v>
      </c>
      <c r="G177" t="s">
        <v>526</v>
      </c>
      <c r="H177" t="s">
        <v>8</v>
      </c>
      <c r="I177" t="s">
        <v>526</v>
      </c>
      <c r="J177" t="s">
        <v>387</v>
      </c>
      <c r="K177">
        <v>2</v>
      </c>
      <c r="L177">
        <v>0</v>
      </c>
      <c r="M177" t="s">
        <v>9</v>
      </c>
      <c r="N177" t="s">
        <v>8</v>
      </c>
    </row>
    <row r="178" spans="1:14" x14ac:dyDescent="0.25">
      <c r="A178">
        <v>215069</v>
      </c>
      <c r="B178" t="s">
        <v>360</v>
      </c>
      <c r="C178" t="s">
        <v>343</v>
      </c>
      <c r="D178" t="s">
        <v>393</v>
      </c>
      <c r="E178" t="s">
        <v>397</v>
      </c>
      <c r="F178" t="s">
        <v>399</v>
      </c>
      <c r="G178" t="s">
        <v>513</v>
      </c>
      <c r="H178" t="s">
        <v>8</v>
      </c>
      <c r="I178" t="s">
        <v>513</v>
      </c>
      <c r="J178" t="s">
        <v>387</v>
      </c>
      <c r="K178">
        <v>2</v>
      </c>
      <c r="L178">
        <v>0</v>
      </c>
      <c r="M178" t="s">
        <v>9</v>
      </c>
      <c r="N178" t="s">
        <v>513</v>
      </c>
    </row>
    <row r="179" spans="1:14" x14ac:dyDescent="0.25">
      <c r="A179">
        <v>215069</v>
      </c>
      <c r="B179" t="s">
        <v>360</v>
      </c>
      <c r="C179" t="s">
        <v>343</v>
      </c>
      <c r="D179" t="s">
        <v>393</v>
      </c>
      <c r="E179" t="s">
        <v>397</v>
      </c>
      <c r="F179" t="s">
        <v>399</v>
      </c>
      <c r="G179" t="s">
        <v>514</v>
      </c>
      <c r="H179" t="s">
        <v>8</v>
      </c>
      <c r="I179" t="s">
        <v>514</v>
      </c>
      <c r="J179" t="s">
        <v>387</v>
      </c>
      <c r="K179">
        <v>2</v>
      </c>
      <c r="L179">
        <v>0</v>
      </c>
      <c r="M179" t="s">
        <v>9</v>
      </c>
      <c r="N179" t="s">
        <v>514</v>
      </c>
    </row>
    <row r="180" spans="1:14" x14ac:dyDescent="0.25">
      <c r="A180">
        <v>215069</v>
      </c>
      <c r="B180" t="s">
        <v>360</v>
      </c>
      <c r="C180" t="s">
        <v>343</v>
      </c>
      <c r="D180" t="s">
        <v>393</v>
      </c>
      <c r="E180" t="s">
        <v>397</v>
      </c>
      <c r="F180" t="s">
        <v>399</v>
      </c>
      <c r="G180" t="s">
        <v>515</v>
      </c>
      <c r="H180" t="s">
        <v>8</v>
      </c>
      <c r="I180" t="s">
        <v>515</v>
      </c>
      <c r="J180" t="s">
        <v>387</v>
      </c>
      <c r="K180">
        <v>10</v>
      </c>
      <c r="L180">
        <v>0</v>
      </c>
      <c r="M180" t="s">
        <v>9</v>
      </c>
      <c r="N180" t="s">
        <v>515</v>
      </c>
    </row>
    <row r="181" spans="1:14" x14ac:dyDescent="0.25">
      <c r="A181">
        <v>215069</v>
      </c>
      <c r="B181" t="s">
        <v>360</v>
      </c>
      <c r="C181" t="s">
        <v>343</v>
      </c>
      <c r="D181" t="s">
        <v>393</v>
      </c>
      <c r="E181" t="s">
        <v>397</v>
      </c>
      <c r="F181" t="s">
        <v>401</v>
      </c>
      <c r="G181" t="s">
        <v>527</v>
      </c>
      <c r="H181" t="s">
        <v>8</v>
      </c>
      <c r="I181" t="s">
        <v>527</v>
      </c>
      <c r="J181" t="s">
        <v>387</v>
      </c>
      <c r="K181">
        <v>2</v>
      </c>
      <c r="L181">
        <v>0</v>
      </c>
      <c r="M181" t="s">
        <v>9</v>
      </c>
      <c r="N181" t="s">
        <v>527</v>
      </c>
    </row>
    <row r="182" spans="1:14" x14ac:dyDescent="0.25">
      <c r="A182">
        <v>215069</v>
      </c>
      <c r="B182" t="s">
        <v>360</v>
      </c>
      <c r="C182" t="s">
        <v>343</v>
      </c>
      <c r="D182" t="s">
        <v>393</v>
      </c>
      <c r="E182" t="s">
        <v>397</v>
      </c>
      <c r="F182" t="s">
        <v>399</v>
      </c>
      <c r="G182" t="s">
        <v>403</v>
      </c>
      <c r="H182" t="s">
        <v>8</v>
      </c>
      <c r="I182" t="s">
        <v>403</v>
      </c>
      <c r="J182" t="s">
        <v>387</v>
      </c>
      <c r="K182">
        <v>10</v>
      </c>
      <c r="L182">
        <v>0</v>
      </c>
      <c r="M182" t="s">
        <v>9</v>
      </c>
      <c r="N182" t="s">
        <v>403</v>
      </c>
    </row>
    <row r="183" spans="1:14" x14ac:dyDescent="0.25">
      <c r="A183">
        <v>215069</v>
      </c>
      <c r="B183" t="s">
        <v>360</v>
      </c>
      <c r="C183" t="s">
        <v>343</v>
      </c>
      <c r="D183" t="s">
        <v>393</v>
      </c>
      <c r="E183" t="s">
        <v>397</v>
      </c>
      <c r="F183" t="s">
        <v>399</v>
      </c>
      <c r="G183" t="s">
        <v>516</v>
      </c>
      <c r="H183" t="s">
        <v>8</v>
      </c>
      <c r="I183" t="s">
        <v>516</v>
      </c>
      <c r="J183" t="s">
        <v>387</v>
      </c>
      <c r="K183">
        <v>8</v>
      </c>
      <c r="L183">
        <v>0</v>
      </c>
      <c r="M183" t="s">
        <v>9</v>
      </c>
      <c r="N183" t="s">
        <v>516</v>
      </c>
    </row>
    <row r="184" spans="1:14" x14ac:dyDescent="0.25">
      <c r="A184">
        <v>215069</v>
      </c>
      <c r="B184" t="s">
        <v>360</v>
      </c>
      <c r="C184" t="s">
        <v>343</v>
      </c>
      <c r="D184" t="s">
        <v>393</v>
      </c>
      <c r="E184" t="s">
        <v>397</v>
      </c>
      <c r="F184" t="s">
        <v>405</v>
      </c>
      <c r="G184" t="s">
        <v>517</v>
      </c>
      <c r="H184" t="s">
        <v>8</v>
      </c>
      <c r="I184" t="s">
        <v>517</v>
      </c>
      <c r="J184" t="s">
        <v>387</v>
      </c>
      <c r="K184">
        <v>2</v>
      </c>
      <c r="L184">
        <v>0</v>
      </c>
      <c r="M184" t="s">
        <v>9</v>
      </c>
      <c r="N184" t="s">
        <v>517</v>
      </c>
    </row>
    <row r="185" spans="1:14" x14ac:dyDescent="0.25">
      <c r="A185">
        <v>215069</v>
      </c>
      <c r="B185" t="s">
        <v>360</v>
      </c>
      <c r="C185" t="s">
        <v>343</v>
      </c>
      <c r="D185" t="s">
        <v>393</v>
      </c>
      <c r="E185" t="s">
        <v>397</v>
      </c>
      <c r="F185" t="s">
        <v>405</v>
      </c>
      <c r="G185" t="s">
        <v>408</v>
      </c>
      <c r="H185" t="s">
        <v>409</v>
      </c>
      <c r="I185" t="s">
        <v>410</v>
      </c>
      <c r="J185" t="s">
        <v>387</v>
      </c>
      <c r="K185">
        <v>2</v>
      </c>
      <c r="L185">
        <v>0</v>
      </c>
      <c r="M185" t="s">
        <v>9</v>
      </c>
      <c r="N185" t="s">
        <v>410</v>
      </c>
    </row>
    <row r="186" spans="1:14" x14ac:dyDescent="0.25">
      <c r="A186">
        <v>215069</v>
      </c>
      <c r="B186" t="s">
        <v>360</v>
      </c>
      <c r="C186" t="s">
        <v>343</v>
      </c>
      <c r="D186" t="s">
        <v>393</v>
      </c>
      <c r="E186" t="s">
        <v>397</v>
      </c>
      <c r="F186" t="s">
        <v>399</v>
      </c>
      <c r="G186" t="s">
        <v>413</v>
      </c>
      <c r="H186" t="s">
        <v>414</v>
      </c>
      <c r="I186" t="s">
        <v>415</v>
      </c>
      <c r="J186" t="s">
        <v>387</v>
      </c>
      <c r="K186">
        <v>2</v>
      </c>
      <c r="L186">
        <v>0</v>
      </c>
      <c r="M186" t="s">
        <v>9</v>
      </c>
      <c r="N186" t="s">
        <v>415</v>
      </c>
    </row>
    <row r="187" spans="1:14" x14ac:dyDescent="0.25">
      <c r="A187">
        <v>215069</v>
      </c>
      <c r="B187" t="s">
        <v>360</v>
      </c>
      <c r="C187" t="s">
        <v>343</v>
      </c>
      <c r="D187" t="s">
        <v>393</v>
      </c>
      <c r="E187" t="s">
        <v>397</v>
      </c>
      <c r="F187" t="s">
        <v>405</v>
      </c>
      <c r="G187" t="s">
        <v>418</v>
      </c>
      <c r="H187" t="s">
        <v>8</v>
      </c>
      <c r="I187" t="s">
        <v>418</v>
      </c>
      <c r="J187" t="s">
        <v>387</v>
      </c>
      <c r="K187">
        <v>64</v>
      </c>
      <c r="L187">
        <v>0</v>
      </c>
      <c r="M187" t="s">
        <v>9</v>
      </c>
      <c r="N187" t="s">
        <v>418</v>
      </c>
    </row>
    <row r="188" spans="1:14" x14ac:dyDescent="0.25">
      <c r="A188">
        <v>215069</v>
      </c>
      <c r="B188" t="s">
        <v>360</v>
      </c>
      <c r="C188" t="s">
        <v>343</v>
      </c>
      <c r="D188" t="s">
        <v>393</v>
      </c>
      <c r="E188" t="s">
        <v>421</v>
      </c>
      <c r="F188" t="s">
        <v>422</v>
      </c>
      <c r="G188" t="s">
        <v>423</v>
      </c>
      <c r="H188" t="s">
        <v>8</v>
      </c>
      <c r="I188" t="s">
        <v>423</v>
      </c>
      <c r="J188" t="s">
        <v>387</v>
      </c>
      <c r="K188">
        <v>1</v>
      </c>
      <c r="L188">
        <v>0</v>
      </c>
      <c r="M188" t="s">
        <v>9</v>
      </c>
      <c r="N188" t="s">
        <v>423</v>
      </c>
    </row>
    <row r="189" spans="1:14" x14ac:dyDescent="0.25">
      <c r="A189">
        <v>215069</v>
      </c>
      <c r="B189" t="s">
        <v>360</v>
      </c>
      <c r="C189" t="s">
        <v>343</v>
      </c>
      <c r="D189" t="s">
        <v>393</v>
      </c>
      <c r="E189" t="s">
        <v>8</v>
      </c>
      <c r="F189" t="s">
        <v>8</v>
      </c>
      <c r="G189" t="s">
        <v>8</v>
      </c>
      <c r="H189" t="s">
        <v>8</v>
      </c>
      <c r="I189" t="s">
        <v>393</v>
      </c>
      <c r="J189" t="s">
        <v>387</v>
      </c>
      <c r="K189">
        <v>1</v>
      </c>
      <c r="L189">
        <v>0</v>
      </c>
      <c r="M189" t="s">
        <v>476</v>
      </c>
      <c r="N189" t="s">
        <v>8</v>
      </c>
    </row>
    <row r="190" spans="1:14" x14ac:dyDescent="0.25">
      <c r="A190">
        <v>215069</v>
      </c>
      <c r="B190" t="s">
        <v>360</v>
      </c>
      <c r="C190" t="s">
        <v>343</v>
      </c>
      <c r="D190" t="s">
        <v>427</v>
      </c>
      <c r="E190" t="s">
        <v>428</v>
      </c>
      <c r="F190" t="s">
        <v>8</v>
      </c>
      <c r="G190" t="s">
        <v>429</v>
      </c>
      <c r="H190" t="s">
        <v>8</v>
      </c>
      <c r="I190" t="s">
        <v>429</v>
      </c>
      <c r="J190" t="s">
        <v>387</v>
      </c>
      <c r="K190">
        <v>32</v>
      </c>
      <c r="L190">
        <v>0</v>
      </c>
      <c r="M190" t="s">
        <v>9</v>
      </c>
      <c r="N190" t="s">
        <v>429</v>
      </c>
    </row>
    <row r="191" spans="1:14" x14ac:dyDescent="0.25">
      <c r="A191">
        <v>215069</v>
      </c>
      <c r="B191" t="s">
        <v>360</v>
      </c>
      <c r="C191" t="s">
        <v>343</v>
      </c>
      <c r="D191" t="s">
        <v>427</v>
      </c>
      <c r="E191" t="s">
        <v>428</v>
      </c>
      <c r="F191" t="s">
        <v>8</v>
      </c>
      <c r="G191" t="s">
        <v>431</v>
      </c>
      <c r="H191" t="s">
        <v>432</v>
      </c>
      <c r="I191" t="s">
        <v>432</v>
      </c>
      <c r="J191" t="s">
        <v>387</v>
      </c>
      <c r="K191">
        <v>40</v>
      </c>
      <c r="L191">
        <v>0</v>
      </c>
      <c r="M191" t="s">
        <v>9</v>
      </c>
      <c r="N191" t="s">
        <v>432</v>
      </c>
    </row>
    <row r="192" spans="1:14" x14ac:dyDescent="0.25">
      <c r="A192">
        <v>215069</v>
      </c>
      <c r="B192" t="s">
        <v>360</v>
      </c>
      <c r="C192" t="s">
        <v>343</v>
      </c>
      <c r="D192" t="s">
        <v>427</v>
      </c>
      <c r="E192" t="s">
        <v>433</v>
      </c>
      <c r="F192" t="s">
        <v>8</v>
      </c>
      <c r="G192" t="s">
        <v>434</v>
      </c>
      <c r="H192" t="s">
        <v>435</v>
      </c>
      <c r="I192" t="s">
        <v>436</v>
      </c>
      <c r="J192" t="s">
        <v>387</v>
      </c>
      <c r="K192">
        <v>6</v>
      </c>
      <c r="L192">
        <v>0</v>
      </c>
      <c r="M192" t="s">
        <v>9</v>
      </c>
      <c r="N192" t="s">
        <v>437</v>
      </c>
    </row>
    <row r="193" spans="1:14" x14ac:dyDescent="0.25">
      <c r="A193">
        <v>215069</v>
      </c>
      <c r="B193" t="s">
        <v>360</v>
      </c>
      <c r="C193" t="s">
        <v>343</v>
      </c>
      <c r="D193" t="s">
        <v>427</v>
      </c>
      <c r="E193" t="s">
        <v>433</v>
      </c>
      <c r="F193" t="s">
        <v>8</v>
      </c>
      <c r="G193" t="s">
        <v>438</v>
      </c>
      <c r="H193" t="s">
        <v>8</v>
      </c>
      <c r="I193" t="s">
        <v>438</v>
      </c>
      <c r="J193" t="s">
        <v>387</v>
      </c>
      <c r="K193">
        <v>26</v>
      </c>
      <c r="L193">
        <v>0</v>
      </c>
      <c r="M193" t="s">
        <v>9</v>
      </c>
      <c r="N193" t="s">
        <v>438</v>
      </c>
    </row>
    <row r="194" spans="1:14" x14ac:dyDescent="0.25">
      <c r="A194">
        <v>215069</v>
      </c>
      <c r="B194" t="s">
        <v>360</v>
      </c>
      <c r="C194" t="s">
        <v>343</v>
      </c>
      <c r="D194" t="s">
        <v>427</v>
      </c>
      <c r="E194" t="s">
        <v>433</v>
      </c>
      <c r="F194" t="s">
        <v>8</v>
      </c>
      <c r="G194" t="s">
        <v>8</v>
      </c>
      <c r="H194" t="s">
        <v>8</v>
      </c>
      <c r="I194" t="s">
        <v>433</v>
      </c>
      <c r="J194" t="s">
        <v>387</v>
      </c>
      <c r="K194">
        <v>5</v>
      </c>
      <c r="L194">
        <v>0</v>
      </c>
      <c r="M194" t="s">
        <v>439</v>
      </c>
      <c r="N194" t="s">
        <v>433</v>
      </c>
    </row>
    <row r="195" spans="1:14" x14ac:dyDescent="0.25">
      <c r="A195">
        <v>215069</v>
      </c>
      <c r="B195" t="s">
        <v>360</v>
      </c>
      <c r="C195" t="s">
        <v>343</v>
      </c>
      <c r="D195" t="s">
        <v>427</v>
      </c>
      <c r="E195" t="s">
        <v>440</v>
      </c>
      <c r="F195" t="s">
        <v>8</v>
      </c>
      <c r="G195" t="s">
        <v>8</v>
      </c>
      <c r="H195" t="s">
        <v>8</v>
      </c>
      <c r="I195" t="s">
        <v>440</v>
      </c>
      <c r="J195" t="s">
        <v>387</v>
      </c>
      <c r="K195">
        <v>1</v>
      </c>
      <c r="L195">
        <v>0</v>
      </c>
      <c r="M195" t="s">
        <v>439</v>
      </c>
      <c r="N195" t="s">
        <v>440</v>
      </c>
    </row>
    <row r="196" spans="1:14" x14ac:dyDescent="0.25">
      <c r="A196">
        <v>215069</v>
      </c>
      <c r="B196" t="s">
        <v>360</v>
      </c>
      <c r="C196" t="s">
        <v>343</v>
      </c>
      <c r="D196" t="s">
        <v>427</v>
      </c>
      <c r="E196" t="s">
        <v>441</v>
      </c>
      <c r="F196" t="s">
        <v>8</v>
      </c>
      <c r="G196" t="s">
        <v>442</v>
      </c>
      <c r="H196" t="s">
        <v>8</v>
      </c>
      <c r="I196" t="s">
        <v>442</v>
      </c>
      <c r="J196" t="s">
        <v>387</v>
      </c>
      <c r="K196">
        <v>399</v>
      </c>
      <c r="L196">
        <v>0</v>
      </c>
      <c r="M196" t="s">
        <v>9</v>
      </c>
      <c r="N196" t="s">
        <v>442</v>
      </c>
    </row>
    <row r="197" spans="1:14" x14ac:dyDescent="0.25">
      <c r="A197">
        <v>215069</v>
      </c>
      <c r="B197" t="s">
        <v>360</v>
      </c>
      <c r="C197" t="s">
        <v>343</v>
      </c>
      <c r="D197" t="s">
        <v>445</v>
      </c>
      <c r="E197" t="s">
        <v>446</v>
      </c>
      <c r="F197" t="s">
        <v>8</v>
      </c>
      <c r="G197" t="s">
        <v>447</v>
      </c>
      <c r="H197" t="s">
        <v>8</v>
      </c>
      <c r="I197" t="s">
        <v>447</v>
      </c>
      <c r="J197" t="s">
        <v>391</v>
      </c>
      <c r="K197">
        <v>27</v>
      </c>
      <c r="L197">
        <v>0</v>
      </c>
      <c r="M197" t="s">
        <v>9</v>
      </c>
      <c r="N197" t="s">
        <v>447</v>
      </c>
    </row>
    <row r="198" spans="1:14" x14ac:dyDescent="0.25">
      <c r="A198">
        <v>215069</v>
      </c>
      <c r="B198" t="s">
        <v>360</v>
      </c>
      <c r="C198" t="s">
        <v>343</v>
      </c>
      <c r="D198" t="s">
        <v>452</v>
      </c>
      <c r="E198" t="s">
        <v>459</v>
      </c>
      <c r="F198" t="s">
        <v>460</v>
      </c>
      <c r="G198" t="s">
        <v>461</v>
      </c>
      <c r="H198" t="s">
        <v>8</v>
      </c>
      <c r="I198" t="s">
        <v>461</v>
      </c>
      <c r="J198" t="s">
        <v>387</v>
      </c>
      <c r="K198">
        <v>3</v>
      </c>
      <c r="L198">
        <v>0</v>
      </c>
      <c r="M198" t="s">
        <v>9</v>
      </c>
      <c r="N198" t="s">
        <v>461</v>
      </c>
    </row>
    <row r="199" spans="1:14" x14ac:dyDescent="0.25">
      <c r="A199">
        <v>215069</v>
      </c>
      <c r="B199" t="s">
        <v>360</v>
      </c>
      <c r="C199" t="s">
        <v>343</v>
      </c>
      <c r="D199" t="s">
        <v>452</v>
      </c>
      <c r="E199" t="s">
        <v>459</v>
      </c>
      <c r="F199" t="s">
        <v>8</v>
      </c>
      <c r="G199" t="s">
        <v>8</v>
      </c>
      <c r="H199" t="s">
        <v>8</v>
      </c>
      <c r="I199" t="s">
        <v>459</v>
      </c>
      <c r="J199" t="s">
        <v>387</v>
      </c>
      <c r="K199">
        <v>1</v>
      </c>
      <c r="L199">
        <v>0</v>
      </c>
      <c r="M199" t="s">
        <v>439</v>
      </c>
      <c r="N199" t="s">
        <v>459</v>
      </c>
    </row>
    <row r="200" spans="1:14" x14ac:dyDescent="0.25">
      <c r="A200">
        <v>215069</v>
      </c>
      <c r="B200" t="s">
        <v>360</v>
      </c>
      <c r="C200" t="s">
        <v>343</v>
      </c>
      <c r="D200" t="s">
        <v>462</v>
      </c>
      <c r="E200" t="s">
        <v>468</v>
      </c>
      <c r="F200" t="s">
        <v>8</v>
      </c>
      <c r="G200" t="s">
        <v>8</v>
      </c>
      <c r="H200" t="s">
        <v>8</v>
      </c>
      <c r="I200" t="s">
        <v>468</v>
      </c>
      <c r="J200" t="s">
        <v>387</v>
      </c>
      <c r="K200">
        <v>1</v>
      </c>
      <c r="L200">
        <v>0</v>
      </c>
      <c r="M200" t="s">
        <v>439</v>
      </c>
      <c r="N200" t="s">
        <v>468</v>
      </c>
    </row>
    <row r="201" spans="1:14" x14ac:dyDescent="0.25">
      <c r="A201">
        <v>215069</v>
      </c>
      <c r="B201" t="s">
        <v>360</v>
      </c>
      <c r="C201" t="s">
        <v>343</v>
      </c>
      <c r="D201" t="s">
        <v>462</v>
      </c>
      <c r="E201" t="s">
        <v>472</v>
      </c>
      <c r="F201" t="s">
        <v>473</v>
      </c>
      <c r="G201" t="s">
        <v>474</v>
      </c>
      <c r="H201" t="s">
        <v>8</v>
      </c>
      <c r="I201" t="s">
        <v>474</v>
      </c>
      <c r="J201" t="s">
        <v>387</v>
      </c>
      <c r="K201">
        <v>6</v>
      </c>
      <c r="L201">
        <v>0</v>
      </c>
      <c r="M201" t="s">
        <v>9</v>
      </c>
      <c r="N201" t="s">
        <v>474</v>
      </c>
    </row>
    <row r="202" spans="1:14" x14ac:dyDescent="0.25">
      <c r="A202">
        <v>215069</v>
      </c>
      <c r="B202" t="s">
        <v>360</v>
      </c>
      <c r="C202" t="s">
        <v>343</v>
      </c>
      <c r="D202" t="s">
        <v>477</v>
      </c>
      <c r="E202" t="s">
        <v>502</v>
      </c>
      <c r="F202" t="s">
        <v>8</v>
      </c>
      <c r="G202" t="s">
        <v>503</v>
      </c>
      <c r="H202" t="s">
        <v>8</v>
      </c>
      <c r="I202" t="s">
        <v>503</v>
      </c>
      <c r="J202" t="s">
        <v>391</v>
      </c>
      <c r="K202">
        <v>1</v>
      </c>
      <c r="L202">
        <v>0</v>
      </c>
      <c r="M202" t="s">
        <v>9</v>
      </c>
      <c r="N202" t="s">
        <v>503</v>
      </c>
    </row>
    <row r="203" spans="1:14" x14ac:dyDescent="0.25">
      <c r="A203">
        <v>215069</v>
      </c>
      <c r="B203" t="s">
        <v>360</v>
      </c>
      <c r="C203" t="s">
        <v>343</v>
      </c>
      <c r="D203" t="s">
        <v>480</v>
      </c>
      <c r="E203" t="s">
        <v>481</v>
      </c>
      <c r="F203" t="s">
        <v>8</v>
      </c>
      <c r="G203" t="s">
        <v>482</v>
      </c>
      <c r="H203" t="s">
        <v>8</v>
      </c>
      <c r="I203" t="s">
        <v>482</v>
      </c>
      <c r="J203" t="s">
        <v>391</v>
      </c>
      <c r="K203">
        <v>16</v>
      </c>
      <c r="L203">
        <v>0</v>
      </c>
      <c r="M203" t="s">
        <v>9</v>
      </c>
      <c r="N203" t="s">
        <v>482</v>
      </c>
    </row>
    <row r="204" spans="1:14" x14ac:dyDescent="0.25">
      <c r="A204">
        <v>215069</v>
      </c>
      <c r="B204" t="s">
        <v>360</v>
      </c>
      <c r="C204" t="s">
        <v>343</v>
      </c>
      <c r="D204" t="s">
        <v>8</v>
      </c>
      <c r="E204" t="s">
        <v>8</v>
      </c>
      <c r="F204" t="s">
        <v>8</v>
      </c>
      <c r="G204" t="s">
        <v>8</v>
      </c>
      <c r="H204" t="s">
        <v>8</v>
      </c>
      <c r="I204" t="s">
        <v>483</v>
      </c>
      <c r="J204" t="s">
        <v>391</v>
      </c>
      <c r="K204">
        <v>351</v>
      </c>
      <c r="L204">
        <v>9</v>
      </c>
      <c r="M204" t="s">
        <v>9</v>
      </c>
      <c r="N204" t="s">
        <v>483</v>
      </c>
    </row>
    <row r="205" spans="1:14" x14ac:dyDescent="0.25">
      <c r="A205">
        <v>215069</v>
      </c>
      <c r="B205" t="s">
        <v>360</v>
      </c>
      <c r="C205" t="s">
        <v>343</v>
      </c>
      <c r="D205" t="s">
        <v>8</v>
      </c>
      <c r="E205" t="s">
        <v>8</v>
      </c>
      <c r="F205" t="s">
        <v>8</v>
      </c>
      <c r="G205" t="s">
        <v>8</v>
      </c>
      <c r="H205" t="s">
        <v>8</v>
      </c>
      <c r="I205" t="s">
        <v>484</v>
      </c>
      <c r="J205" t="s">
        <v>391</v>
      </c>
      <c r="K205">
        <v>1</v>
      </c>
      <c r="L205">
        <v>0</v>
      </c>
      <c r="M205" t="s">
        <v>9</v>
      </c>
      <c r="N205" t="s">
        <v>484</v>
      </c>
    </row>
    <row r="206" spans="1:14" x14ac:dyDescent="0.25">
      <c r="A206">
        <v>215070</v>
      </c>
      <c r="B206" t="s">
        <v>363</v>
      </c>
      <c r="C206" t="s">
        <v>343</v>
      </c>
      <c r="D206" t="s">
        <v>393</v>
      </c>
      <c r="E206" t="s">
        <v>394</v>
      </c>
      <c r="F206" t="s">
        <v>395</v>
      </c>
      <c r="G206" t="s">
        <v>396</v>
      </c>
      <c r="H206" t="s">
        <v>8</v>
      </c>
      <c r="I206" t="s">
        <v>396</v>
      </c>
      <c r="J206" t="s">
        <v>387</v>
      </c>
      <c r="K206">
        <v>2</v>
      </c>
      <c r="L206">
        <v>0</v>
      </c>
      <c r="M206" t="s">
        <v>9</v>
      </c>
      <c r="N206" t="s">
        <v>396</v>
      </c>
    </row>
    <row r="207" spans="1:14" x14ac:dyDescent="0.25">
      <c r="A207">
        <v>215070</v>
      </c>
      <c r="B207" t="s">
        <v>363</v>
      </c>
      <c r="C207" t="s">
        <v>343</v>
      </c>
      <c r="D207" t="s">
        <v>393</v>
      </c>
      <c r="E207" t="s">
        <v>397</v>
      </c>
      <c r="F207" t="s">
        <v>8</v>
      </c>
      <c r="G207" t="s">
        <v>8</v>
      </c>
      <c r="H207" t="s">
        <v>8</v>
      </c>
      <c r="I207" t="s">
        <v>397</v>
      </c>
      <c r="J207" t="s">
        <v>398</v>
      </c>
      <c r="K207">
        <v>1</v>
      </c>
      <c r="L207">
        <v>0</v>
      </c>
      <c r="M207" t="s">
        <v>9</v>
      </c>
      <c r="N207" t="s">
        <v>397</v>
      </c>
    </row>
    <row r="208" spans="1:14" x14ac:dyDescent="0.25">
      <c r="A208">
        <v>215070</v>
      </c>
      <c r="B208" t="s">
        <v>363</v>
      </c>
      <c r="C208" t="s">
        <v>343</v>
      </c>
      <c r="D208" t="s">
        <v>393</v>
      </c>
      <c r="E208" t="s">
        <v>397</v>
      </c>
      <c r="F208" t="s">
        <v>399</v>
      </c>
      <c r="G208" t="s">
        <v>513</v>
      </c>
      <c r="H208" t="s">
        <v>8</v>
      </c>
      <c r="I208" t="s">
        <v>513</v>
      </c>
      <c r="J208" t="s">
        <v>387</v>
      </c>
      <c r="K208">
        <v>4</v>
      </c>
      <c r="L208">
        <v>0</v>
      </c>
      <c r="M208" t="s">
        <v>9</v>
      </c>
      <c r="N208" t="s">
        <v>513</v>
      </c>
    </row>
    <row r="209" spans="1:14" x14ac:dyDescent="0.25">
      <c r="A209">
        <v>215070</v>
      </c>
      <c r="B209" t="s">
        <v>363</v>
      </c>
      <c r="C209" t="s">
        <v>343</v>
      </c>
      <c r="D209" t="s">
        <v>393</v>
      </c>
      <c r="E209" t="s">
        <v>397</v>
      </c>
      <c r="F209" t="s">
        <v>399</v>
      </c>
      <c r="G209" t="s">
        <v>515</v>
      </c>
      <c r="H209" t="s">
        <v>8</v>
      </c>
      <c r="I209" t="s">
        <v>515</v>
      </c>
      <c r="J209" t="s">
        <v>387</v>
      </c>
      <c r="K209">
        <v>2</v>
      </c>
      <c r="L209">
        <v>0</v>
      </c>
      <c r="M209" t="s">
        <v>9</v>
      </c>
      <c r="N209" t="s">
        <v>515</v>
      </c>
    </row>
    <row r="210" spans="1:14" x14ac:dyDescent="0.25">
      <c r="A210">
        <v>215070</v>
      </c>
      <c r="B210" t="s">
        <v>363</v>
      </c>
      <c r="C210" t="s">
        <v>343</v>
      </c>
      <c r="D210" t="s">
        <v>393</v>
      </c>
      <c r="E210" t="s">
        <v>397</v>
      </c>
      <c r="F210" t="s">
        <v>405</v>
      </c>
      <c r="G210" t="s">
        <v>418</v>
      </c>
      <c r="H210" t="s">
        <v>8</v>
      </c>
      <c r="I210" t="s">
        <v>418</v>
      </c>
      <c r="J210" t="s">
        <v>387</v>
      </c>
      <c r="K210">
        <v>2</v>
      </c>
      <c r="L210">
        <v>0</v>
      </c>
      <c r="M210" t="s">
        <v>9</v>
      </c>
      <c r="N210" t="s">
        <v>418</v>
      </c>
    </row>
    <row r="211" spans="1:14" x14ac:dyDescent="0.25">
      <c r="A211">
        <v>215070</v>
      </c>
      <c r="B211" t="s">
        <v>363</v>
      </c>
      <c r="C211" t="s">
        <v>343</v>
      </c>
      <c r="D211" t="s">
        <v>427</v>
      </c>
      <c r="E211" t="s">
        <v>428</v>
      </c>
      <c r="F211" t="s">
        <v>8</v>
      </c>
      <c r="G211" t="s">
        <v>429</v>
      </c>
      <c r="H211" t="s">
        <v>8</v>
      </c>
      <c r="I211" t="s">
        <v>429</v>
      </c>
      <c r="J211" t="s">
        <v>387</v>
      </c>
      <c r="K211">
        <v>5</v>
      </c>
      <c r="L211">
        <v>0</v>
      </c>
      <c r="M211" t="s">
        <v>9</v>
      </c>
      <c r="N211" t="s">
        <v>429</v>
      </c>
    </row>
    <row r="212" spans="1:14" x14ac:dyDescent="0.25">
      <c r="A212">
        <v>215070</v>
      </c>
      <c r="B212" t="s">
        <v>363</v>
      </c>
      <c r="C212" t="s">
        <v>343</v>
      </c>
      <c r="D212" t="s">
        <v>427</v>
      </c>
      <c r="E212" t="s">
        <v>428</v>
      </c>
      <c r="F212" t="s">
        <v>8</v>
      </c>
      <c r="G212" t="s">
        <v>431</v>
      </c>
      <c r="H212" t="s">
        <v>432</v>
      </c>
      <c r="I212" t="s">
        <v>432</v>
      </c>
      <c r="J212" t="s">
        <v>387</v>
      </c>
      <c r="K212">
        <v>1</v>
      </c>
      <c r="L212">
        <v>0</v>
      </c>
      <c r="M212" t="s">
        <v>9</v>
      </c>
      <c r="N212" t="s">
        <v>432</v>
      </c>
    </row>
    <row r="213" spans="1:14" x14ac:dyDescent="0.25">
      <c r="A213">
        <v>215070</v>
      </c>
      <c r="B213" t="s">
        <v>363</v>
      </c>
      <c r="C213" t="s">
        <v>343</v>
      </c>
      <c r="D213" t="s">
        <v>427</v>
      </c>
      <c r="E213" t="s">
        <v>433</v>
      </c>
      <c r="F213" t="s">
        <v>8</v>
      </c>
      <c r="G213" t="s">
        <v>434</v>
      </c>
      <c r="H213" t="s">
        <v>435</v>
      </c>
      <c r="I213" t="s">
        <v>436</v>
      </c>
      <c r="J213" t="s">
        <v>387</v>
      </c>
      <c r="K213">
        <v>2</v>
      </c>
      <c r="L213">
        <v>0</v>
      </c>
      <c r="M213" t="s">
        <v>9</v>
      </c>
      <c r="N213" t="s">
        <v>437</v>
      </c>
    </row>
    <row r="214" spans="1:14" x14ac:dyDescent="0.25">
      <c r="A214">
        <v>215070</v>
      </c>
      <c r="B214" t="s">
        <v>363</v>
      </c>
      <c r="C214" t="s">
        <v>343</v>
      </c>
      <c r="D214" t="s">
        <v>427</v>
      </c>
      <c r="E214" t="s">
        <v>433</v>
      </c>
      <c r="F214" t="s">
        <v>8</v>
      </c>
      <c r="G214" t="s">
        <v>438</v>
      </c>
      <c r="H214" t="s">
        <v>8</v>
      </c>
      <c r="I214" t="s">
        <v>438</v>
      </c>
      <c r="J214" t="s">
        <v>387</v>
      </c>
      <c r="K214">
        <v>2</v>
      </c>
      <c r="L214">
        <v>0</v>
      </c>
      <c r="M214" t="s">
        <v>9</v>
      </c>
      <c r="N214" t="s">
        <v>438</v>
      </c>
    </row>
    <row r="215" spans="1:14" x14ac:dyDescent="0.25">
      <c r="A215">
        <v>215070</v>
      </c>
      <c r="B215" t="s">
        <v>363</v>
      </c>
      <c r="C215" t="s">
        <v>343</v>
      </c>
      <c r="D215" t="s">
        <v>427</v>
      </c>
      <c r="E215" t="s">
        <v>441</v>
      </c>
      <c r="F215" t="s">
        <v>8</v>
      </c>
      <c r="G215" t="s">
        <v>442</v>
      </c>
      <c r="H215" t="s">
        <v>8</v>
      </c>
      <c r="I215" t="s">
        <v>442</v>
      </c>
      <c r="J215" t="s">
        <v>387</v>
      </c>
      <c r="K215">
        <v>40</v>
      </c>
      <c r="L215">
        <v>0</v>
      </c>
      <c r="M215" t="s">
        <v>9</v>
      </c>
      <c r="N215" t="s">
        <v>442</v>
      </c>
    </row>
    <row r="216" spans="1:14" x14ac:dyDescent="0.25">
      <c r="A216">
        <v>215070</v>
      </c>
      <c r="B216" t="s">
        <v>363</v>
      </c>
      <c r="C216" t="s">
        <v>343</v>
      </c>
      <c r="D216" t="s">
        <v>528</v>
      </c>
      <c r="E216" t="s">
        <v>529</v>
      </c>
      <c r="F216" t="s">
        <v>8</v>
      </c>
      <c r="G216" t="s">
        <v>8</v>
      </c>
      <c r="H216" t="s">
        <v>8</v>
      </c>
      <c r="I216" t="s">
        <v>529</v>
      </c>
      <c r="J216" t="s">
        <v>391</v>
      </c>
      <c r="K216">
        <v>1</v>
      </c>
      <c r="L216">
        <v>0</v>
      </c>
      <c r="M216" t="s">
        <v>9</v>
      </c>
      <c r="N216" t="s">
        <v>529</v>
      </c>
    </row>
    <row r="217" spans="1:14" x14ac:dyDescent="0.25">
      <c r="A217">
        <v>215070</v>
      </c>
      <c r="B217" t="s">
        <v>363</v>
      </c>
      <c r="C217" t="s">
        <v>343</v>
      </c>
      <c r="D217" t="s">
        <v>445</v>
      </c>
      <c r="E217" t="s">
        <v>446</v>
      </c>
      <c r="F217" t="s">
        <v>8</v>
      </c>
      <c r="G217" t="s">
        <v>447</v>
      </c>
      <c r="H217" t="s">
        <v>8</v>
      </c>
      <c r="I217" t="s">
        <v>447</v>
      </c>
      <c r="J217" t="s">
        <v>391</v>
      </c>
      <c r="K217">
        <v>15</v>
      </c>
      <c r="L217">
        <v>0</v>
      </c>
      <c r="M217" t="s">
        <v>9</v>
      </c>
      <c r="N217" t="s">
        <v>447</v>
      </c>
    </row>
    <row r="218" spans="1:14" x14ac:dyDescent="0.25">
      <c r="A218">
        <v>215070</v>
      </c>
      <c r="B218" t="s">
        <v>363</v>
      </c>
      <c r="C218" t="s">
        <v>343</v>
      </c>
      <c r="D218" t="s">
        <v>520</v>
      </c>
      <c r="E218" t="s">
        <v>521</v>
      </c>
      <c r="F218" t="s">
        <v>8</v>
      </c>
      <c r="G218" t="s">
        <v>8</v>
      </c>
      <c r="H218" t="s">
        <v>8</v>
      </c>
      <c r="I218" t="s">
        <v>521</v>
      </c>
      <c r="J218" t="s">
        <v>387</v>
      </c>
      <c r="K218">
        <v>2</v>
      </c>
      <c r="L218">
        <v>0</v>
      </c>
      <c r="M218" t="s">
        <v>439</v>
      </c>
      <c r="N218" t="s">
        <v>521</v>
      </c>
    </row>
    <row r="219" spans="1:14" x14ac:dyDescent="0.25">
      <c r="A219">
        <v>215070</v>
      </c>
      <c r="B219" t="s">
        <v>363</v>
      </c>
      <c r="C219" t="s">
        <v>343</v>
      </c>
      <c r="D219" t="s">
        <v>452</v>
      </c>
      <c r="E219" t="s">
        <v>459</v>
      </c>
      <c r="F219" t="s">
        <v>460</v>
      </c>
      <c r="G219" t="s">
        <v>461</v>
      </c>
      <c r="H219" t="s">
        <v>8</v>
      </c>
      <c r="I219" t="s">
        <v>461</v>
      </c>
      <c r="J219" t="s">
        <v>387</v>
      </c>
      <c r="K219">
        <v>1</v>
      </c>
      <c r="L219">
        <v>0</v>
      </c>
      <c r="M219" t="s">
        <v>9</v>
      </c>
      <c r="N219" t="s">
        <v>461</v>
      </c>
    </row>
    <row r="220" spans="1:14" x14ac:dyDescent="0.25">
      <c r="A220">
        <v>215070</v>
      </c>
      <c r="B220" t="s">
        <v>363</v>
      </c>
      <c r="C220" t="s">
        <v>343</v>
      </c>
      <c r="D220" t="s">
        <v>462</v>
      </c>
      <c r="E220" t="s">
        <v>466</v>
      </c>
      <c r="F220" t="s">
        <v>8</v>
      </c>
      <c r="G220" t="s">
        <v>467</v>
      </c>
      <c r="H220" t="s">
        <v>8</v>
      </c>
      <c r="I220" t="s">
        <v>467</v>
      </c>
      <c r="J220" t="s">
        <v>387</v>
      </c>
      <c r="K220">
        <v>1</v>
      </c>
      <c r="L220">
        <v>0</v>
      </c>
      <c r="M220" t="s">
        <v>9</v>
      </c>
      <c r="N220" t="s">
        <v>467</v>
      </c>
    </row>
    <row r="221" spans="1:14" x14ac:dyDescent="0.25">
      <c r="A221">
        <v>215070</v>
      </c>
      <c r="B221" t="s">
        <v>363</v>
      </c>
      <c r="C221" t="s">
        <v>343</v>
      </c>
      <c r="D221" t="s">
        <v>462</v>
      </c>
      <c r="E221" t="s">
        <v>472</v>
      </c>
      <c r="F221" t="s">
        <v>473</v>
      </c>
      <c r="G221" t="s">
        <v>474</v>
      </c>
      <c r="H221" t="s">
        <v>8</v>
      </c>
      <c r="I221" t="s">
        <v>474</v>
      </c>
      <c r="J221" t="s">
        <v>387</v>
      </c>
      <c r="K221">
        <v>1</v>
      </c>
      <c r="L221">
        <v>0</v>
      </c>
      <c r="M221" t="s">
        <v>9</v>
      </c>
      <c r="N221" t="s">
        <v>474</v>
      </c>
    </row>
    <row r="222" spans="1:14" x14ac:dyDescent="0.25">
      <c r="A222">
        <v>215070</v>
      </c>
      <c r="B222" t="s">
        <v>363</v>
      </c>
      <c r="C222" t="s">
        <v>343</v>
      </c>
      <c r="D222" t="s">
        <v>462</v>
      </c>
      <c r="E222" t="s">
        <v>8</v>
      </c>
      <c r="F222" t="s">
        <v>8</v>
      </c>
      <c r="G222" t="s">
        <v>8</v>
      </c>
      <c r="H222" t="s">
        <v>8</v>
      </c>
      <c r="I222" t="s">
        <v>462</v>
      </c>
      <c r="J222" t="s">
        <v>398</v>
      </c>
      <c r="K222">
        <v>2</v>
      </c>
      <c r="L222">
        <v>0</v>
      </c>
      <c r="M222" t="s">
        <v>476</v>
      </c>
      <c r="N222" t="s">
        <v>462</v>
      </c>
    </row>
    <row r="223" spans="1:14" x14ac:dyDescent="0.25">
      <c r="A223">
        <v>215070</v>
      </c>
      <c r="B223" t="s">
        <v>363</v>
      </c>
      <c r="C223" t="s">
        <v>343</v>
      </c>
      <c r="D223" t="s">
        <v>8</v>
      </c>
      <c r="E223" t="s">
        <v>8</v>
      </c>
      <c r="F223" t="s">
        <v>8</v>
      </c>
      <c r="G223" t="s">
        <v>8</v>
      </c>
      <c r="H223" t="s">
        <v>8</v>
      </c>
      <c r="I223" t="s">
        <v>483</v>
      </c>
      <c r="J223" t="s">
        <v>391</v>
      </c>
      <c r="K223">
        <v>62</v>
      </c>
      <c r="L223">
        <v>0</v>
      </c>
      <c r="M223" t="s">
        <v>9</v>
      </c>
      <c r="N223" t="s">
        <v>483</v>
      </c>
    </row>
    <row r="224" spans="1:14" x14ac:dyDescent="0.25">
      <c r="A224">
        <v>215070</v>
      </c>
      <c r="B224" t="s">
        <v>363</v>
      </c>
      <c r="C224" t="s">
        <v>343</v>
      </c>
      <c r="D224" t="s">
        <v>8</v>
      </c>
      <c r="E224" t="s">
        <v>8</v>
      </c>
      <c r="F224" t="s">
        <v>8</v>
      </c>
      <c r="G224" t="s">
        <v>8</v>
      </c>
      <c r="H224" t="s">
        <v>8</v>
      </c>
      <c r="I224" t="s">
        <v>530</v>
      </c>
      <c r="J224" t="s">
        <v>391</v>
      </c>
      <c r="K224">
        <v>1</v>
      </c>
      <c r="L224">
        <v>0</v>
      </c>
      <c r="M224" t="s">
        <v>9</v>
      </c>
      <c r="N224" t="s">
        <v>8</v>
      </c>
    </row>
    <row r="225" spans="1:14" x14ac:dyDescent="0.25">
      <c r="A225">
        <v>215071</v>
      </c>
      <c r="B225" t="s">
        <v>364</v>
      </c>
      <c r="C225" t="s">
        <v>343</v>
      </c>
      <c r="D225" t="s">
        <v>485</v>
      </c>
      <c r="E225" t="s">
        <v>506</v>
      </c>
      <c r="F225" t="s">
        <v>8</v>
      </c>
      <c r="G225" t="s">
        <v>507</v>
      </c>
      <c r="H225" t="s">
        <v>8</v>
      </c>
      <c r="I225" t="s">
        <v>507</v>
      </c>
      <c r="J225" t="s">
        <v>391</v>
      </c>
      <c r="K225">
        <v>5</v>
      </c>
      <c r="L225">
        <v>0</v>
      </c>
      <c r="M225" t="s">
        <v>9</v>
      </c>
      <c r="N225" t="s">
        <v>507</v>
      </c>
    </row>
    <row r="226" spans="1:14" x14ac:dyDescent="0.25">
      <c r="A226">
        <v>215071</v>
      </c>
      <c r="B226" t="s">
        <v>364</v>
      </c>
      <c r="C226" t="s">
        <v>343</v>
      </c>
      <c r="D226" t="s">
        <v>486</v>
      </c>
      <c r="E226" t="s">
        <v>487</v>
      </c>
      <c r="F226" t="s">
        <v>8</v>
      </c>
      <c r="G226" t="s">
        <v>488</v>
      </c>
      <c r="H226" t="s">
        <v>8</v>
      </c>
      <c r="I226" t="s">
        <v>488</v>
      </c>
      <c r="J226" t="s">
        <v>391</v>
      </c>
      <c r="K226">
        <v>1</v>
      </c>
      <c r="L226">
        <v>0</v>
      </c>
      <c r="M226" t="s">
        <v>9</v>
      </c>
      <c r="N226" t="s">
        <v>488</v>
      </c>
    </row>
    <row r="227" spans="1:14" x14ac:dyDescent="0.25">
      <c r="A227">
        <v>215071</v>
      </c>
      <c r="B227" t="s">
        <v>364</v>
      </c>
      <c r="C227" t="s">
        <v>343</v>
      </c>
      <c r="D227" t="s">
        <v>393</v>
      </c>
      <c r="E227" t="s">
        <v>394</v>
      </c>
      <c r="F227" t="s">
        <v>395</v>
      </c>
      <c r="G227" t="s">
        <v>396</v>
      </c>
      <c r="H227" t="s">
        <v>8</v>
      </c>
      <c r="I227" t="s">
        <v>396</v>
      </c>
      <c r="J227" t="s">
        <v>387</v>
      </c>
      <c r="K227">
        <v>2</v>
      </c>
      <c r="L227">
        <v>0</v>
      </c>
      <c r="M227" t="s">
        <v>9</v>
      </c>
      <c r="N227" t="s">
        <v>396</v>
      </c>
    </row>
    <row r="228" spans="1:14" x14ac:dyDescent="0.25">
      <c r="A228">
        <v>215071</v>
      </c>
      <c r="B228" t="s">
        <v>364</v>
      </c>
      <c r="C228" t="s">
        <v>343</v>
      </c>
      <c r="D228" t="s">
        <v>393</v>
      </c>
      <c r="E228" t="s">
        <v>397</v>
      </c>
      <c r="F228" t="s">
        <v>401</v>
      </c>
      <c r="G228" t="s">
        <v>531</v>
      </c>
      <c r="H228" t="s">
        <v>8</v>
      </c>
      <c r="I228" t="s">
        <v>531</v>
      </c>
      <c r="J228" t="s">
        <v>387</v>
      </c>
      <c r="K228">
        <v>1</v>
      </c>
      <c r="L228">
        <v>0</v>
      </c>
      <c r="M228" t="s">
        <v>9</v>
      </c>
      <c r="N228" t="s">
        <v>531</v>
      </c>
    </row>
    <row r="229" spans="1:14" x14ac:dyDescent="0.25">
      <c r="A229">
        <v>215071</v>
      </c>
      <c r="B229" t="s">
        <v>364</v>
      </c>
      <c r="C229" t="s">
        <v>343</v>
      </c>
      <c r="D229" t="s">
        <v>427</v>
      </c>
      <c r="E229" t="s">
        <v>428</v>
      </c>
      <c r="F229" t="s">
        <v>8</v>
      </c>
      <c r="G229" t="s">
        <v>429</v>
      </c>
      <c r="H229" t="s">
        <v>8</v>
      </c>
      <c r="I229" t="s">
        <v>429</v>
      </c>
      <c r="J229" t="s">
        <v>387</v>
      </c>
      <c r="K229">
        <v>5</v>
      </c>
      <c r="L229">
        <v>0</v>
      </c>
      <c r="M229" t="s">
        <v>9</v>
      </c>
      <c r="N229" t="s">
        <v>429</v>
      </c>
    </row>
    <row r="230" spans="1:14" x14ac:dyDescent="0.25">
      <c r="A230">
        <v>215071</v>
      </c>
      <c r="B230" t="s">
        <v>364</v>
      </c>
      <c r="C230" t="s">
        <v>343</v>
      </c>
      <c r="D230" t="s">
        <v>427</v>
      </c>
      <c r="E230" t="s">
        <v>428</v>
      </c>
      <c r="F230" t="s">
        <v>8</v>
      </c>
      <c r="G230" t="s">
        <v>430</v>
      </c>
      <c r="H230" t="s">
        <v>8</v>
      </c>
      <c r="I230" t="s">
        <v>430</v>
      </c>
      <c r="J230" t="s">
        <v>387</v>
      </c>
      <c r="K230">
        <v>2</v>
      </c>
      <c r="L230">
        <v>0</v>
      </c>
      <c r="M230" t="s">
        <v>9</v>
      </c>
      <c r="N230" t="s">
        <v>430</v>
      </c>
    </row>
    <row r="231" spans="1:14" x14ac:dyDescent="0.25">
      <c r="A231">
        <v>215071</v>
      </c>
      <c r="B231" t="s">
        <v>364</v>
      </c>
      <c r="C231" t="s">
        <v>343</v>
      </c>
      <c r="D231" t="s">
        <v>427</v>
      </c>
      <c r="E231" t="s">
        <v>433</v>
      </c>
      <c r="F231" t="s">
        <v>8</v>
      </c>
      <c r="G231" t="s">
        <v>438</v>
      </c>
      <c r="H231" t="s">
        <v>8</v>
      </c>
      <c r="I231" t="s">
        <v>438</v>
      </c>
      <c r="J231" t="s">
        <v>387</v>
      </c>
      <c r="K231">
        <v>2</v>
      </c>
      <c r="L231">
        <v>0</v>
      </c>
      <c r="M231" t="s">
        <v>9</v>
      </c>
      <c r="N231" t="s">
        <v>438</v>
      </c>
    </row>
    <row r="232" spans="1:14" x14ac:dyDescent="0.25">
      <c r="A232">
        <v>215071</v>
      </c>
      <c r="B232" t="s">
        <v>364</v>
      </c>
      <c r="C232" t="s">
        <v>343</v>
      </c>
      <c r="D232" t="s">
        <v>427</v>
      </c>
      <c r="E232" t="s">
        <v>433</v>
      </c>
      <c r="F232" t="s">
        <v>8</v>
      </c>
      <c r="G232" t="s">
        <v>434</v>
      </c>
      <c r="H232" t="s">
        <v>435</v>
      </c>
      <c r="I232" t="s">
        <v>436</v>
      </c>
      <c r="J232" t="s">
        <v>387</v>
      </c>
      <c r="K232">
        <v>1</v>
      </c>
      <c r="L232">
        <v>0</v>
      </c>
      <c r="M232" t="s">
        <v>9</v>
      </c>
      <c r="N232" t="s">
        <v>437</v>
      </c>
    </row>
    <row r="233" spans="1:14" x14ac:dyDescent="0.25">
      <c r="A233">
        <v>215071</v>
      </c>
      <c r="B233" t="s">
        <v>364</v>
      </c>
      <c r="C233" t="s">
        <v>343</v>
      </c>
      <c r="D233" t="s">
        <v>427</v>
      </c>
      <c r="E233" t="s">
        <v>440</v>
      </c>
      <c r="F233" t="s">
        <v>8</v>
      </c>
      <c r="G233" t="s">
        <v>8</v>
      </c>
      <c r="H233" t="s">
        <v>8</v>
      </c>
      <c r="I233" t="s">
        <v>440</v>
      </c>
      <c r="J233" t="s">
        <v>387</v>
      </c>
      <c r="K233">
        <v>1</v>
      </c>
      <c r="L233">
        <v>0</v>
      </c>
      <c r="M233" t="s">
        <v>9</v>
      </c>
      <c r="N233" t="s">
        <v>440</v>
      </c>
    </row>
    <row r="234" spans="1:14" x14ac:dyDescent="0.25">
      <c r="A234">
        <v>215071</v>
      </c>
      <c r="B234" t="s">
        <v>364</v>
      </c>
      <c r="C234" t="s">
        <v>343</v>
      </c>
      <c r="D234" t="s">
        <v>427</v>
      </c>
      <c r="E234" t="s">
        <v>441</v>
      </c>
      <c r="F234" t="s">
        <v>8</v>
      </c>
      <c r="G234" t="s">
        <v>442</v>
      </c>
      <c r="H234" t="s">
        <v>8</v>
      </c>
      <c r="I234" t="s">
        <v>442</v>
      </c>
      <c r="J234" t="s">
        <v>387</v>
      </c>
      <c r="K234">
        <v>21</v>
      </c>
      <c r="L234">
        <v>0</v>
      </c>
      <c r="M234" t="s">
        <v>9</v>
      </c>
      <c r="N234" t="s">
        <v>442</v>
      </c>
    </row>
    <row r="235" spans="1:14" x14ac:dyDescent="0.25">
      <c r="A235">
        <v>215071</v>
      </c>
      <c r="B235" t="s">
        <v>364</v>
      </c>
      <c r="C235" t="s">
        <v>343</v>
      </c>
      <c r="D235" t="s">
        <v>445</v>
      </c>
      <c r="E235" t="s">
        <v>446</v>
      </c>
      <c r="F235" t="s">
        <v>8</v>
      </c>
      <c r="G235" t="s">
        <v>447</v>
      </c>
      <c r="H235" t="s">
        <v>8</v>
      </c>
      <c r="I235" t="s">
        <v>447</v>
      </c>
      <c r="J235" t="s">
        <v>391</v>
      </c>
      <c r="K235">
        <v>7</v>
      </c>
      <c r="L235">
        <v>0</v>
      </c>
      <c r="M235" t="s">
        <v>9</v>
      </c>
      <c r="N235" t="s">
        <v>447</v>
      </c>
    </row>
    <row r="236" spans="1:14" x14ac:dyDescent="0.25">
      <c r="A236">
        <v>215071</v>
      </c>
      <c r="B236" t="s">
        <v>364</v>
      </c>
      <c r="C236" t="s">
        <v>343</v>
      </c>
      <c r="D236" t="s">
        <v>452</v>
      </c>
      <c r="E236" t="s">
        <v>532</v>
      </c>
      <c r="F236" t="s">
        <v>8</v>
      </c>
      <c r="G236" t="s">
        <v>8</v>
      </c>
      <c r="H236" t="s">
        <v>8</v>
      </c>
      <c r="I236" t="s">
        <v>532</v>
      </c>
      <c r="J236" t="s">
        <v>387</v>
      </c>
      <c r="K236">
        <v>1</v>
      </c>
      <c r="L236">
        <v>0</v>
      </c>
      <c r="M236" t="s">
        <v>439</v>
      </c>
      <c r="N236" t="s">
        <v>532</v>
      </c>
    </row>
    <row r="237" spans="1:14" x14ac:dyDescent="0.25">
      <c r="A237">
        <v>215071</v>
      </c>
      <c r="B237" t="s">
        <v>364</v>
      </c>
      <c r="C237" t="s">
        <v>343</v>
      </c>
      <c r="D237" t="s">
        <v>452</v>
      </c>
      <c r="E237" t="s">
        <v>459</v>
      </c>
      <c r="F237" t="s">
        <v>460</v>
      </c>
      <c r="G237" t="s">
        <v>461</v>
      </c>
      <c r="H237" t="s">
        <v>8</v>
      </c>
      <c r="I237" t="s">
        <v>461</v>
      </c>
      <c r="J237" t="s">
        <v>387</v>
      </c>
      <c r="K237">
        <v>1</v>
      </c>
      <c r="L237">
        <v>0</v>
      </c>
      <c r="M237" t="s">
        <v>9</v>
      </c>
      <c r="N237" t="s">
        <v>461</v>
      </c>
    </row>
    <row r="238" spans="1:14" x14ac:dyDescent="0.25">
      <c r="A238">
        <v>215071</v>
      </c>
      <c r="B238" t="s">
        <v>364</v>
      </c>
      <c r="C238" t="s">
        <v>343</v>
      </c>
      <c r="D238" t="s">
        <v>462</v>
      </c>
      <c r="E238" t="s">
        <v>472</v>
      </c>
      <c r="F238" t="s">
        <v>473</v>
      </c>
      <c r="G238" t="s">
        <v>474</v>
      </c>
      <c r="H238" t="s">
        <v>8</v>
      </c>
      <c r="I238" t="s">
        <v>474</v>
      </c>
      <c r="J238" t="s">
        <v>387</v>
      </c>
      <c r="K238">
        <v>1</v>
      </c>
      <c r="L238">
        <v>0</v>
      </c>
      <c r="M238" t="s">
        <v>9</v>
      </c>
      <c r="N238" t="s">
        <v>474</v>
      </c>
    </row>
    <row r="239" spans="1:14" x14ac:dyDescent="0.25">
      <c r="A239">
        <v>215071</v>
      </c>
      <c r="B239" t="s">
        <v>364</v>
      </c>
      <c r="C239" t="s">
        <v>343</v>
      </c>
      <c r="D239" t="s">
        <v>8</v>
      </c>
      <c r="E239" t="s">
        <v>8</v>
      </c>
      <c r="F239" t="s">
        <v>8</v>
      </c>
      <c r="G239" t="s">
        <v>8</v>
      </c>
      <c r="H239" t="s">
        <v>8</v>
      </c>
      <c r="I239" t="s">
        <v>483</v>
      </c>
      <c r="J239" t="s">
        <v>391</v>
      </c>
      <c r="K239">
        <v>11</v>
      </c>
      <c r="L239">
        <v>0</v>
      </c>
      <c r="M239" t="s">
        <v>9</v>
      </c>
      <c r="N239" t="s">
        <v>483</v>
      </c>
    </row>
    <row r="240" spans="1:14" x14ac:dyDescent="0.25">
      <c r="A240">
        <v>215071</v>
      </c>
      <c r="B240" t="s">
        <v>364</v>
      </c>
      <c r="C240" t="s">
        <v>343</v>
      </c>
      <c r="D240" t="s">
        <v>8</v>
      </c>
      <c r="E240" t="s">
        <v>8</v>
      </c>
      <c r="F240" t="s">
        <v>8</v>
      </c>
      <c r="G240" t="s">
        <v>8</v>
      </c>
      <c r="H240" t="s">
        <v>8</v>
      </c>
      <c r="I240" t="s">
        <v>533</v>
      </c>
      <c r="J240" t="s">
        <v>387</v>
      </c>
      <c r="K240">
        <v>2</v>
      </c>
      <c r="L240">
        <v>0</v>
      </c>
      <c r="M240" t="s">
        <v>9</v>
      </c>
      <c r="N240" t="s">
        <v>8</v>
      </c>
    </row>
    <row r="241" spans="1:14" x14ac:dyDescent="0.25">
      <c r="A241">
        <v>215072</v>
      </c>
      <c r="B241" t="s">
        <v>363</v>
      </c>
      <c r="C241" t="s">
        <v>343</v>
      </c>
      <c r="D241" t="s">
        <v>485</v>
      </c>
      <c r="E241" t="s">
        <v>506</v>
      </c>
      <c r="F241" t="s">
        <v>8</v>
      </c>
      <c r="G241" t="s">
        <v>507</v>
      </c>
      <c r="H241" t="s">
        <v>8</v>
      </c>
      <c r="I241" t="s">
        <v>507</v>
      </c>
      <c r="J241" t="s">
        <v>391</v>
      </c>
      <c r="K241">
        <v>6</v>
      </c>
      <c r="L241">
        <v>0</v>
      </c>
      <c r="M241" t="s">
        <v>9</v>
      </c>
      <c r="N241" t="s">
        <v>507</v>
      </c>
    </row>
    <row r="242" spans="1:14" x14ac:dyDescent="0.25">
      <c r="A242">
        <v>215072</v>
      </c>
      <c r="B242" t="s">
        <v>363</v>
      </c>
      <c r="C242" t="s">
        <v>343</v>
      </c>
      <c r="D242" t="s">
        <v>384</v>
      </c>
      <c r="E242" t="s">
        <v>385</v>
      </c>
      <c r="F242" t="s">
        <v>8</v>
      </c>
      <c r="G242" t="s">
        <v>386</v>
      </c>
      <c r="H242" t="s">
        <v>8</v>
      </c>
      <c r="I242" t="s">
        <v>386</v>
      </c>
      <c r="J242" t="s">
        <v>387</v>
      </c>
      <c r="K242">
        <v>2</v>
      </c>
      <c r="L242">
        <v>0</v>
      </c>
      <c r="M242" t="s">
        <v>9</v>
      </c>
      <c r="N242" t="s">
        <v>386</v>
      </c>
    </row>
    <row r="243" spans="1:14" x14ac:dyDescent="0.25">
      <c r="A243">
        <v>215072</v>
      </c>
      <c r="B243" t="s">
        <v>363</v>
      </c>
      <c r="C243" t="s">
        <v>343</v>
      </c>
      <c r="D243" t="s">
        <v>384</v>
      </c>
      <c r="E243" t="s">
        <v>385</v>
      </c>
      <c r="F243" t="s">
        <v>8</v>
      </c>
      <c r="G243" t="s">
        <v>388</v>
      </c>
      <c r="H243" t="s">
        <v>389</v>
      </c>
      <c r="I243" t="s">
        <v>389</v>
      </c>
      <c r="J243" t="s">
        <v>387</v>
      </c>
      <c r="K243">
        <v>1</v>
      </c>
      <c r="L243">
        <v>0</v>
      </c>
      <c r="M243" t="s">
        <v>9</v>
      </c>
      <c r="N243" t="s">
        <v>389</v>
      </c>
    </row>
    <row r="244" spans="1:14" x14ac:dyDescent="0.25">
      <c r="A244">
        <v>215072</v>
      </c>
      <c r="B244" t="s">
        <v>363</v>
      </c>
      <c r="C244" t="s">
        <v>343</v>
      </c>
      <c r="D244" t="s">
        <v>393</v>
      </c>
      <c r="E244" t="s">
        <v>394</v>
      </c>
      <c r="F244" t="s">
        <v>395</v>
      </c>
      <c r="G244" t="s">
        <v>396</v>
      </c>
      <c r="H244" t="s">
        <v>8</v>
      </c>
      <c r="I244" t="s">
        <v>396</v>
      </c>
      <c r="J244" t="s">
        <v>387</v>
      </c>
      <c r="K244">
        <v>1</v>
      </c>
      <c r="L244">
        <v>0</v>
      </c>
      <c r="M244" t="s">
        <v>9</v>
      </c>
      <c r="N244" t="s">
        <v>396</v>
      </c>
    </row>
    <row r="245" spans="1:14" x14ac:dyDescent="0.25">
      <c r="A245">
        <v>215072</v>
      </c>
      <c r="B245" t="s">
        <v>363</v>
      </c>
      <c r="C245" t="s">
        <v>343</v>
      </c>
      <c r="D245" t="s">
        <v>393</v>
      </c>
      <c r="E245" t="s">
        <v>397</v>
      </c>
      <c r="F245" t="s">
        <v>8</v>
      </c>
      <c r="G245" t="s">
        <v>8</v>
      </c>
      <c r="H245" t="s">
        <v>8</v>
      </c>
      <c r="I245" t="s">
        <v>397</v>
      </c>
      <c r="J245" t="s">
        <v>398</v>
      </c>
      <c r="K245">
        <v>29</v>
      </c>
      <c r="L245">
        <v>0</v>
      </c>
      <c r="M245" t="s">
        <v>9</v>
      </c>
      <c r="N245" t="s">
        <v>397</v>
      </c>
    </row>
    <row r="246" spans="1:14" x14ac:dyDescent="0.25">
      <c r="A246">
        <v>215072</v>
      </c>
      <c r="B246" t="s">
        <v>363</v>
      </c>
      <c r="C246" t="s">
        <v>343</v>
      </c>
      <c r="D246" t="s">
        <v>393</v>
      </c>
      <c r="E246" t="s">
        <v>397</v>
      </c>
      <c r="F246" t="s">
        <v>510</v>
      </c>
      <c r="G246" t="s">
        <v>511</v>
      </c>
      <c r="H246" t="s">
        <v>8</v>
      </c>
      <c r="I246" t="s">
        <v>511</v>
      </c>
      <c r="J246" t="s">
        <v>387</v>
      </c>
      <c r="K246">
        <v>8</v>
      </c>
      <c r="L246">
        <v>0</v>
      </c>
      <c r="M246" t="s">
        <v>9</v>
      </c>
      <c r="N246" t="s">
        <v>511</v>
      </c>
    </row>
    <row r="247" spans="1:14" x14ac:dyDescent="0.25">
      <c r="A247">
        <v>215072</v>
      </c>
      <c r="B247" t="s">
        <v>363</v>
      </c>
      <c r="C247" t="s">
        <v>343</v>
      </c>
      <c r="D247" t="s">
        <v>393</v>
      </c>
      <c r="E247" t="s">
        <v>397</v>
      </c>
      <c r="F247" t="s">
        <v>399</v>
      </c>
      <c r="G247" t="s">
        <v>512</v>
      </c>
      <c r="H247" t="s">
        <v>8</v>
      </c>
      <c r="I247" t="s">
        <v>512</v>
      </c>
      <c r="J247" t="s">
        <v>387</v>
      </c>
      <c r="K247">
        <v>10</v>
      </c>
      <c r="L247">
        <v>0</v>
      </c>
      <c r="M247" t="s">
        <v>9</v>
      </c>
      <c r="N247" t="s">
        <v>512</v>
      </c>
    </row>
    <row r="248" spans="1:14" x14ac:dyDescent="0.25">
      <c r="A248">
        <v>215072</v>
      </c>
      <c r="B248" t="s">
        <v>363</v>
      </c>
      <c r="C248" t="s">
        <v>343</v>
      </c>
      <c r="D248" t="s">
        <v>393</v>
      </c>
      <c r="E248" t="s">
        <v>397</v>
      </c>
      <c r="F248" t="s">
        <v>399</v>
      </c>
      <c r="G248" t="s">
        <v>513</v>
      </c>
      <c r="H248" t="s">
        <v>8</v>
      </c>
      <c r="I248" t="s">
        <v>513</v>
      </c>
      <c r="J248" t="s">
        <v>387</v>
      </c>
      <c r="K248">
        <v>4</v>
      </c>
      <c r="L248">
        <v>0</v>
      </c>
      <c r="M248" t="s">
        <v>9</v>
      </c>
      <c r="N248" t="s">
        <v>513</v>
      </c>
    </row>
    <row r="249" spans="1:14" x14ac:dyDescent="0.25">
      <c r="A249">
        <v>215072</v>
      </c>
      <c r="B249" t="s">
        <v>363</v>
      </c>
      <c r="C249" t="s">
        <v>343</v>
      </c>
      <c r="D249" t="s">
        <v>393</v>
      </c>
      <c r="E249" t="s">
        <v>397</v>
      </c>
      <c r="F249" t="s">
        <v>399</v>
      </c>
      <c r="G249" t="s">
        <v>534</v>
      </c>
      <c r="H249" t="s">
        <v>8</v>
      </c>
      <c r="I249" t="s">
        <v>534</v>
      </c>
      <c r="J249" t="s">
        <v>387</v>
      </c>
      <c r="K249">
        <v>2</v>
      </c>
      <c r="L249">
        <v>0</v>
      </c>
      <c r="M249" t="s">
        <v>9</v>
      </c>
      <c r="N249" t="s">
        <v>534</v>
      </c>
    </row>
    <row r="250" spans="1:14" x14ac:dyDescent="0.25">
      <c r="A250">
        <v>215072</v>
      </c>
      <c r="B250" t="s">
        <v>363</v>
      </c>
      <c r="C250" t="s">
        <v>343</v>
      </c>
      <c r="D250" t="s">
        <v>393</v>
      </c>
      <c r="E250" t="s">
        <v>397</v>
      </c>
      <c r="F250" t="s">
        <v>399</v>
      </c>
      <c r="G250" t="s">
        <v>514</v>
      </c>
      <c r="H250" t="s">
        <v>8</v>
      </c>
      <c r="I250" t="s">
        <v>514</v>
      </c>
      <c r="J250" t="s">
        <v>387</v>
      </c>
      <c r="K250">
        <v>4</v>
      </c>
      <c r="L250">
        <v>0</v>
      </c>
      <c r="M250" t="s">
        <v>9</v>
      </c>
      <c r="N250" t="s">
        <v>514</v>
      </c>
    </row>
    <row r="251" spans="1:14" x14ac:dyDescent="0.25">
      <c r="A251">
        <v>215072</v>
      </c>
      <c r="B251" t="s">
        <v>363</v>
      </c>
      <c r="C251" t="s">
        <v>343</v>
      </c>
      <c r="D251" t="s">
        <v>393</v>
      </c>
      <c r="E251" t="s">
        <v>397</v>
      </c>
      <c r="F251" t="s">
        <v>399</v>
      </c>
      <c r="G251" t="s">
        <v>515</v>
      </c>
      <c r="H251" t="s">
        <v>8</v>
      </c>
      <c r="I251" t="s">
        <v>515</v>
      </c>
      <c r="J251" t="s">
        <v>387</v>
      </c>
      <c r="K251">
        <v>2</v>
      </c>
      <c r="L251">
        <v>0</v>
      </c>
      <c r="M251" t="s">
        <v>9</v>
      </c>
      <c r="N251" t="s">
        <v>515</v>
      </c>
    </row>
    <row r="252" spans="1:14" x14ac:dyDescent="0.25">
      <c r="A252">
        <v>215072</v>
      </c>
      <c r="B252" t="s">
        <v>363</v>
      </c>
      <c r="C252" t="s">
        <v>343</v>
      </c>
      <c r="D252" t="s">
        <v>393</v>
      </c>
      <c r="E252" t="s">
        <v>397</v>
      </c>
      <c r="F252" t="s">
        <v>401</v>
      </c>
      <c r="G252" t="s">
        <v>527</v>
      </c>
      <c r="H252" t="s">
        <v>8</v>
      </c>
      <c r="I252" t="s">
        <v>527</v>
      </c>
      <c r="J252" t="s">
        <v>387</v>
      </c>
      <c r="K252">
        <v>2</v>
      </c>
      <c r="L252">
        <v>0</v>
      </c>
      <c r="M252" t="s">
        <v>9</v>
      </c>
      <c r="N252" t="s">
        <v>527</v>
      </c>
    </row>
    <row r="253" spans="1:14" x14ac:dyDescent="0.25">
      <c r="A253">
        <v>215072</v>
      </c>
      <c r="B253" t="s">
        <v>363</v>
      </c>
      <c r="C253" t="s">
        <v>343</v>
      </c>
      <c r="D253" t="s">
        <v>393</v>
      </c>
      <c r="E253" t="s">
        <v>397</v>
      </c>
      <c r="F253" t="s">
        <v>401</v>
      </c>
      <c r="G253" t="s">
        <v>8</v>
      </c>
      <c r="H253" t="s">
        <v>8</v>
      </c>
      <c r="I253" t="s">
        <v>490</v>
      </c>
      <c r="J253" t="s">
        <v>387</v>
      </c>
      <c r="K253">
        <v>2</v>
      </c>
      <c r="L253">
        <v>0</v>
      </c>
      <c r="M253" t="s">
        <v>9</v>
      </c>
      <c r="N253" t="s">
        <v>490</v>
      </c>
    </row>
    <row r="254" spans="1:14" x14ac:dyDescent="0.25">
      <c r="A254">
        <v>215072</v>
      </c>
      <c r="B254" t="s">
        <v>363</v>
      </c>
      <c r="C254" t="s">
        <v>343</v>
      </c>
      <c r="D254" t="s">
        <v>393</v>
      </c>
      <c r="E254" t="s">
        <v>397</v>
      </c>
      <c r="F254" t="s">
        <v>399</v>
      </c>
      <c r="G254" t="s">
        <v>413</v>
      </c>
      <c r="H254" t="s">
        <v>414</v>
      </c>
      <c r="I254" t="s">
        <v>415</v>
      </c>
      <c r="J254" t="s">
        <v>387</v>
      </c>
      <c r="K254">
        <v>2</v>
      </c>
      <c r="L254">
        <v>0</v>
      </c>
      <c r="M254" t="s">
        <v>9</v>
      </c>
      <c r="N254" t="s">
        <v>415</v>
      </c>
    </row>
    <row r="255" spans="1:14" x14ac:dyDescent="0.25">
      <c r="A255">
        <v>215072</v>
      </c>
      <c r="B255" t="s">
        <v>363</v>
      </c>
      <c r="C255" t="s">
        <v>343</v>
      </c>
      <c r="D255" t="s">
        <v>393</v>
      </c>
      <c r="E255" t="s">
        <v>397</v>
      </c>
      <c r="F255" t="s">
        <v>405</v>
      </c>
      <c r="G255" t="s">
        <v>418</v>
      </c>
      <c r="H255" t="s">
        <v>8</v>
      </c>
      <c r="I255" t="s">
        <v>418</v>
      </c>
      <c r="J255" t="s">
        <v>387</v>
      </c>
      <c r="K255">
        <v>26</v>
      </c>
      <c r="L255">
        <v>0</v>
      </c>
      <c r="M255" t="s">
        <v>9</v>
      </c>
      <c r="N255" t="s">
        <v>418</v>
      </c>
    </row>
    <row r="256" spans="1:14" x14ac:dyDescent="0.25">
      <c r="A256">
        <v>215072</v>
      </c>
      <c r="B256" t="s">
        <v>363</v>
      </c>
      <c r="C256" t="s">
        <v>343</v>
      </c>
      <c r="D256" t="s">
        <v>393</v>
      </c>
      <c r="E256" t="s">
        <v>397</v>
      </c>
      <c r="F256" t="s">
        <v>405</v>
      </c>
      <c r="G256" t="s">
        <v>419</v>
      </c>
      <c r="H256" t="s">
        <v>8</v>
      </c>
      <c r="I256" t="s">
        <v>419</v>
      </c>
      <c r="J256" t="s">
        <v>387</v>
      </c>
      <c r="K256">
        <v>2</v>
      </c>
      <c r="L256">
        <v>0</v>
      </c>
      <c r="M256" t="s">
        <v>9</v>
      </c>
      <c r="N256" t="s">
        <v>419</v>
      </c>
    </row>
    <row r="257" spans="1:14" x14ac:dyDescent="0.25">
      <c r="A257">
        <v>215072</v>
      </c>
      <c r="B257" t="s">
        <v>363</v>
      </c>
      <c r="C257" t="s">
        <v>343</v>
      </c>
      <c r="D257" t="s">
        <v>393</v>
      </c>
      <c r="E257" t="s">
        <v>421</v>
      </c>
      <c r="F257" t="s">
        <v>422</v>
      </c>
      <c r="G257" t="s">
        <v>423</v>
      </c>
      <c r="H257" t="s">
        <v>8</v>
      </c>
      <c r="I257" t="s">
        <v>423</v>
      </c>
      <c r="J257" t="s">
        <v>387</v>
      </c>
      <c r="K257">
        <v>4</v>
      </c>
      <c r="L257">
        <v>0</v>
      </c>
      <c r="M257" t="s">
        <v>9</v>
      </c>
      <c r="N257" t="s">
        <v>423</v>
      </c>
    </row>
    <row r="258" spans="1:14" x14ac:dyDescent="0.25">
      <c r="A258">
        <v>215072</v>
      </c>
      <c r="B258" t="s">
        <v>363</v>
      </c>
      <c r="C258" t="s">
        <v>343</v>
      </c>
      <c r="D258" t="s">
        <v>427</v>
      </c>
      <c r="E258" t="s">
        <v>428</v>
      </c>
      <c r="F258" t="s">
        <v>8</v>
      </c>
      <c r="G258" t="s">
        <v>429</v>
      </c>
      <c r="H258" t="s">
        <v>8</v>
      </c>
      <c r="I258" t="s">
        <v>429</v>
      </c>
      <c r="J258" t="s">
        <v>387</v>
      </c>
      <c r="K258">
        <v>29</v>
      </c>
      <c r="L258">
        <v>0</v>
      </c>
      <c r="M258" t="s">
        <v>9</v>
      </c>
      <c r="N258" t="s">
        <v>429</v>
      </c>
    </row>
    <row r="259" spans="1:14" x14ac:dyDescent="0.25">
      <c r="A259">
        <v>215072</v>
      </c>
      <c r="B259" t="s">
        <v>363</v>
      </c>
      <c r="C259" t="s">
        <v>343</v>
      </c>
      <c r="D259" t="s">
        <v>427</v>
      </c>
      <c r="E259" t="s">
        <v>428</v>
      </c>
      <c r="F259" t="s">
        <v>8</v>
      </c>
      <c r="G259" t="s">
        <v>430</v>
      </c>
      <c r="H259" t="s">
        <v>8</v>
      </c>
      <c r="I259" t="s">
        <v>430</v>
      </c>
      <c r="J259" t="s">
        <v>387</v>
      </c>
      <c r="K259">
        <v>3</v>
      </c>
      <c r="L259">
        <v>0</v>
      </c>
      <c r="M259" t="s">
        <v>9</v>
      </c>
      <c r="N259" t="s">
        <v>430</v>
      </c>
    </row>
    <row r="260" spans="1:14" x14ac:dyDescent="0.25">
      <c r="A260">
        <v>215072</v>
      </c>
      <c r="B260" t="s">
        <v>363</v>
      </c>
      <c r="C260" t="s">
        <v>343</v>
      </c>
      <c r="D260" t="s">
        <v>427</v>
      </c>
      <c r="E260" t="s">
        <v>428</v>
      </c>
      <c r="F260" t="s">
        <v>8</v>
      </c>
      <c r="G260" t="s">
        <v>431</v>
      </c>
      <c r="H260" t="s">
        <v>432</v>
      </c>
      <c r="I260" t="s">
        <v>432</v>
      </c>
      <c r="J260" t="s">
        <v>387</v>
      </c>
      <c r="K260">
        <v>8</v>
      </c>
      <c r="L260">
        <v>0</v>
      </c>
      <c r="M260" t="s">
        <v>9</v>
      </c>
      <c r="N260" t="s">
        <v>432</v>
      </c>
    </row>
    <row r="261" spans="1:14" x14ac:dyDescent="0.25">
      <c r="A261">
        <v>215072</v>
      </c>
      <c r="B261" t="s">
        <v>363</v>
      </c>
      <c r="C261" t="s">
        <v>343</v>
      </c>
      <c r="D261" t="s">
        <v>427</v>
      </c>
      <c r="E261" t="s">
        <v>433</v>
      </c>
      <c r="F261" t="s">
        <v>8</v>
      </c>
      <c r="G261" t="s">
        <v>438</v>
      </c>
      <c r="H261" t="s">
        <v>8</v>
      </c>
      <c r="I261" t="s">
        <v>438</v>
      </c>
      <c r="J261" t="s">
        <v>387</v>
      </c>
      <c r="K261">
        <v>35</v>
      </c>
      <c r="L261">
        <v>0</v>
      </c>
      <c r="M261" t="s">
        <v>9</v>
      </c>
      <c r="N261" t="s">
        <v>438</v>
      </c>
    </row>
    <row r="262" spans="1:14" x14ac:dyDescent="0.25">
      <c r="A262">
        <v>215072</v>
      </c>
      <c r="B262" t="s">
        <v>363</v>
      </c>
      <c r="C262" t="s">
        <v>343</v>
      </c>
      <c r="D262" t="s">
        <v>427</v>
      </c>
      <c r="E262" t="s">
        <v>440</v>
      </c>
      <c r="F262" t="s">
        <v>8</v>
      </c>
      <c r="G262" t="s">
        <v>8</v>
      </c>
      <c r="H262" t="s">
        <v>8</v>
      </c>
      <c r="I262" t="s">
        <v>440</v>
      </c>
      <c r="J262" t="s">
        <v>387</v>
      </c>
      <c r="K262">
        <v>1</v>
      </c>
      <c r="L262">
        <v>0</v>
      </c>
      <c r="M262" t="s">
        <v>9</v>
      </c>
      <c r="N262" t="s">
        <v>440</v>
      </c>
    </row>
    <row r="263" spans="1:14" x14ac:dyDescent="0.25">
      <c r="A263">
        <v>215072</v>
      </c>
      <c r="B263" t="s">
        <v>363</v>
      </c>
      <c r="C263" t="s">
        <v>343</v>
      </c>
      <c r="D263" t="s">
        <v>427</v>
      </c>
      <c r="E263" t="s">
        <v>441</v>
      </c>
      <c r="F263" t="s">
        <v>8</v>
      </c>
      <c r="G263" t="s">
        <v>442</v>
      </c>
      <c r="H263" t="s">
        <v>8</v>
      </c>
      <c r="I263" t="s">
        <v>442</v>
      </c>
      <c r="J263" t="s">
        <v>387</v>
      </c>
      <c r="K263">
        <v>95</v>
      </c>
      <c r="L263">
        <v>0</v>
      </c>
      <c r="M263" t="s">
        <v>9</v>
      </c>
      <c r="N263" t="s">
        <v>442</v>
      </c>
    </row>
    <row r="264" spans="1:14" x14ac:dyDescent="0.25">
      <c r="A264">
        <v>215072</v>
      </c>
      <c r="B264" t="s">
        <v>363</v>
      </c>
      <c r="C264" t="s">
        <v>343</v>
      </c>
      <c r="D264" t="s">
        <v>445</v>
      </c>
      <c r="E264" t="s">
        <v>446</v>
      </c>
      <c r="F264" t="s">
        <v>8</v>
      </c>
      <c r="G264" t="s">
        <v>447</v>
      </c>
      <c r="H264" t="s">
        <v>8</v>
      </c>
      <c r="I264" t="s">
        <v>447</v>
      </c>
      <c r="J264" t="s">
        <v>391</v>
      </c>
      <c r="K264">
        <v>15</v>
      </c>
      <c r="L264">
        <v>0</v>
      </c>
      <c r="M264" t="s">
        <v>9</v>
      </c>
      <c r="N264" t="s">
        <v>447</v>
      </c>
    </row>
    <row r="265" spans="1:14" x14ac:dyDescent="0.25">
      <c r="A265">
        <v>215072</v>
      </c>
      <c r="B265" t="s">
        <v>363</v>
      </c>
      <c r="C265" t="s">
        <v>343</v>
      </c>
      <c r="D265" t="s">
        <v>480</v>
      </c>
      <c r="E265" t="s">
        <v>481</v>
      </c>
      <c r="F265" t="s">
        <v>8</v>
      </c>
      <c r="G265" t="s">
        <v>482</v>
      </c>
      <c r="H265" t="s">
        <v>8</v>
      </c>
      <c r="I265" t="s">
        <v>482</v>
      </c>
      <c r="J265" t="s">
        <v>391</v>
      </c>
      <c r="K265">
        <v>3</v>
      </c>
      <c r="L265">
        <v>0</v>
      </c>
      <c r="M265" t="s">
        <v>9</v>
      </c>
      <c r="N265" t="s">
        <v>482</v>
      </c>
    </row>
    <row r="266" spans="1:14" x14ac:dyDescent="0.25">
      <c r="A266">
        <v>215072</v>
      </c>
      <c r="B266" t="s">
        <v>363</v>
      </c>
      <c r="C266" t="s">
        <v>343</v>
      </c>
      <c r="D266" t="s">
        <v>8</v>
      </c>
      <c r="E266" t="s">
        <v>8</v>
      </c>
      <c r="F266" t="s">
        <v>8</v>
      </c>
      <c r="G266" t="s">
        <v>8</v>
      </c>
      <c r="H266" t="s">
        <v>8</v>
      </c>
      <c r="I266" t="s">
        <v>484</v>
      </c>
      <c r="J266" t="s">
        <v>387</v>
      </c>
      <c r="K266">
        <v>4</v>
      </c>
      <c r="L266">
        <v>0</v>
      </c>
      <c r="M266" t="s">
        <v>9</v>
      </c>
      <c r="N266" t="s">
        <v>484</v>
      </c>
    </row>
    <row r="267" spans="1:14" x14ac:dyDescent="0.25">
      <c r="A267">
        <v>215072</v>
      </c>
      <c r="B267" t="s">
        <v>363</v>
      </c>
      <c r="C267" t="s">
        <v>343</v>
      </c>
      <c r="D267" t="s">
        <v>8</v>
      </c>
      <c r="E267" t="s">
        <v>8</v>
      </c>
      <c r="F267" t="s">
        <v>8</v>
      </c>
      <c r="G267" t="s">
        <v>8</v>
      </c>
      <c r="H267" t="s">
        <v>8</v>
      </c>
      <c r="I267" t="s">
        <v>483</v>
      </c>
      <c r="J267" t="s">
        <v>391</v>
      </c>
      <c r="K267">
        <v>2</v>
      </c>
      <c r="L267">
        <v>0</v>
      </c>
      <c r="M267" t="s">
        <v>9</v>
      </c>
      <c r="N267" t="s">
        <v>483</v>
      </c>
    </row>
    <row r="268" spans="1:14" x14ac:dyDescent="0.25">
      <c r="A268">
        <v>215073</v>
      </c>
      <c r="B268" t="s">
        <v>366</v>
      </c>
      <c r="C268" t="s">
        <v>343</v>
      </c>
      <c r="D268" t="s">
        <v>393</v>
      </c>
      <c r="E268" t="s">
        <v>397</v>
      </c>
      <c r="F268" t="s">
        <v>8</v>
      </c>
      <c r="G268" t="s">
        <v>8</v>
      </c>
      <c r="H268" t="s">
        <v>8</v>
      </c>
      <c r="I268" t="s">
        <v>397</v>
      </c>
      <c r="J268" t="s">
        <v>398</v>
      </c>
      <c r="K268">
        <v>2</v>
      </c>
      <c r="L268">
        <v>0</v>
      </c>
      <c r="M268" t="s">
        <v>9</v>
      </c>
      <c r="N268" t="s">
        <v>397</v>
      </c>
    </row>
    <row r="269" spans="1:14" x14ac:dyDescent="0.25">
      <c r="A269">
        <v>215073</v>
      </c>
      <c r="B269" t="s">
        <v>366</v>
      </c>
      <c r="C269" t="s">
        <v>343</v>
      </c>
      <c r="D269" t="s">
        <v>393</v>
      </c>
      <c r="E269" t="s">
        <v>397</v>
      </c>
      <c r="F269" t="s">
        <v>510</v>
      </c>
      <c r="G269" t="s">
        <v>511</v>
      </c>
      <c r="H269" t="s">
        <v>8</v>
      </c>
      <c r="I269" t="s">
        <v>511</v>
      </c>
      <c r="J269" t="s">
        <v>387</v>
      </c>
      <c r="K269">
        <v>3</v>
      </c>
      <c r="L269">
        <v>0</v>
      </c>
      <c r="M269" t="s">
        <v>9</v>
      </c>
      <c r="N269" t="s">
        <v>511</v>
      </c>
    </row>
    <row r="270" spans="1:14" x14ac:dyDescent="0.25">
      <c r="A270">
        <v>215073</v>
      </c>
      <c r="B270" t="s">
        <v>366</v>
      </c>
      <c r="C270" t="s">
        <v>343</v>
      </c>
      <c r="D270" t="s">
        <v>393</v>
      </c>
      <c r="E270" t="s">
        <v>397</v>
      </c>
      <c r="F270" t="s">
        <v>399</v>
      </c>
      <c r="G270" t="s">
        <v>512</v>
      </c>
      <c r="H270" t="s">
        <v>8</v>
      </c>
      <c r="I270" t="s">
        <v>512</v>
      </c>
      <c r="J270" t="s">
        <v>387</v>
      </c>
      <c r="K270">
        <v>15</v>
      </c>
      <c r="L270">
        <v>0</v>
      </c>
      <c r="M270" t="s">
        <v>9</v>
      </c>
      <c r="N270" t="s">
        <v>512</v>
      </c>
    </row>
    <row r="271" spans="1:14" x14ac:dyDescent="0.25">
      <c r="A271">
        <v>215073</v>
      </c>
      <c r="B271" t="s">
        <v>366</v>
      </c>
      <c r="C271" t="s">
        <v>343</v>
      </c>
      <c r="D271" t="s">
        <v>393</v>
      </c>
      <c r="E271" t="s">
        <v>397</v>
      </c>
      <c r="F271" t="s">
        <v>399</v>
      </c>
      <c r="G271" t="s">
        <v>513</v>
      </c>
      <c r="H271" t="s">
        <v>8</v>
      </c>
      <c r="I271" t="s">
        <v>513</v>
      </c>
      <c r="J271" t="s">
        <v>387</v>
      </c>
      <c r="K271">
        <v>5</v>
      </c>
      <c r="L271">
        <v>0</v>
      </c>
      <c r="M271" t="s">
        <v>9</v>
      </c>
      <c r="N271" t="s">
        <v>513</v>
      </c>
    </row>
    <row r="272" spans="1:14" x14ac:dyDescent="0.25">
      <c r="A272">
        <v>215073</v>
      </c>
      <c r="B272" t="s">
        <v>366</v>
      </c>
      <c r="C272" t="s">
        <v>343</v>
      </c>
      <c r="D272" t="s">
        <v>393</v>
      </c>
      <c r="E272" t="s">
        <v>397</v>
      </c>
      <c r="F272" t="s">
        <v>399</v>
      </c>
      <c r="G272" t="s">
        <v>514</v>
      </c>
      <c r="H272" t="s">
        <v>8</v>
      </c>
      <c r="I272" t="s">
        <v>514</v>
      </c>
      <c r="J272" t="s">
        <v>387</v>
      </c>
      <c r="K272">
        <v>18</v>
      </c>
      <c r="L272">
        <v>0</v>
      </c>
      <c r="M272" t="s">
        <v>9</v>
      </c>
      <c r="N272" t="s">
        <v>514</v>
      </c>
    </row>
    <row r="273" spans="1:14" x14ac:dyDescent="0.25">
      <c r="A273">
        <v>215073</v>
      </c>
      <c r="B273" t="s">
        <v>366</v>
      </c>
      <c r="C273" t="s">
        <v>343</v>
      </c>
      <c r="D273" t="s">
        <v>393</v>
      </c>
      <c r="E273" t="s">
        <v>397</v>
      </c>
      <c r="F273" t="s">
        <v>399</v>
      </c>
      <c r="G273" t="s">
        <v>516</v>
      </c>
      <c r="H273" t="s">
        <v>8</v>
      </c>
      <c r="I273" t="s">
        <v>516</v>
      </c>
      <c r="J273" t="s">
        <v>387</v>
      </c>
      <c r="K273">
        <v>2</v>
      </c>
      <c r="L273">
        <v>0</v>
      </c>
      <c r="M273" t="s">
        <v>9</v>
      </c>
      <c r="N273" t="s">
        <v>516</v>
      </c>
    </row>
    <row r="274" spans="1:14" x14ac:dyDescent="0.25">
      <c r="A274">
        <v>215073</v>
      </c>
      <c r="B274" t="s">
        <v>366</v>
      </c>
      <c r="C274" t="s">
        <v>343</v>
      </c>
      <c r="D274" t="s">
        <v>393</v>
      </c>
      <c r="E274" t="s">
        <v>397</v>
      </c>
      <c r="F274" t="s">
        <v>405</v>
      </c>
      <c r="G274" t="s">
        <v>418</v>
      </c>
      <c r="H274" t="s">
        <v>8</v>
      </c>
      <c r="I274" t="s">
        <v>418</v>
      </c>
      <c r="J274" t="s">
        <v>387</v>
      </c>
      <c r="K274">
        <v>1</v>
      </c>
      <c r="L274">
        <v>0</v>
      </c>
      <c r="M274" t="s">
        <v>9</v>
      </c>
      <c r="N274" t="s">
        <v>418</v>
      </c>
    </row>
    <row r="275" spans="1:14" x14ac:dyDescent="0.25">
      <c r="A275">
        <v>215073</v>
      </c>
      <c r="B275" t="s">
        <v>366</v>
      </c>
      <c r="C275" t="s">
        <v>343</v>
      </c>
      <c r="D275" t="s">
        <v>427</v>
      </c>
      <c r="E275" t="s">
        <v>428</v>
      </c>
      <c r="F275" t="s">
        <v>8</v>
      </c>
      <c r="G275" t="s">
        <v>431</v>
      </c>
      <c r="H275" t="s">
        <v>432</v>
      </c>
      <c r="I275" t="s">
        <v>432</v>
      </c>
      <c r="J275" t="s">
        <v>387</v>
      </c>
      <c r="K275">
        <v>1</v>
      </c>
      <c r="L275">
        <v>0</v>
      </c>
      <c r="M275" t="s">
        <v>9</v>
      </c>
      <c r="N275" t="s">
        <v>432</v>
      </c>
    </row>
    <row r="276" spans="1:14" x14ac:dyDescent="0.25">
      <c r="A276">
        <v>215073</v>
      </c>
      <c r="B276" t="s">
        <v>366</v>
      </c>
      <c r="C276" t="s">
        <v>343</v>
      </c>
      <c r="D276" t="s">
        <v>427</v>
      </c>
      <c r="E276" t="s">
        <v>428</v>
      </c>
      <c r="F276" t="s">
        <v>8</v>
      </c>
      <c r="G276" t="s">
        <v>429</v>
      </c>
      <c r="H276" t="s">
        <v>8</v>
      </c>
      <c r="I276" t="s">
        <v>429</v>
      </c>
      <c r="J276" t="s">
        <v>387</v>
      </c>
      <c r="K276">
        <v>6</v>
      </c>
      <c r="L276">
        <v>0</v>
      </c>
      <c r="M276" t="s">
        <v>9</v>
      </c>
      <c r="N276" t="s">
        <v>429</v>
      </c>
    </row>
    <row r="277" spans="1:14" x14ac:dyDescent="0.25">
      <c r="A277">
        <v>215073</v>
      </c>
      <c r="B277" t="s">
        <v>366</v>
      </c>
      <c r="C277" t="s">
        <v>343</v>
      </c>
      <c r="D277" t="s">
        <v>427</v>
      </c>
      <c r="E277" t="s">
        <v>433</v>
      </c>
      <c r="F277" t="s">
        <v>8</v>
      </c>
      <c r="G277" t="s">
        <v>434</v>
      </c>
      <c r="H277" t="s">
        <v>435</v>
      </c>
      <c r="I277" t="s">
        <v>436</v>
      </c>
      <c r="J277" t="s">
        <v>387</v>
      </c>
      <c r="K277">
        <v>1</v>
      </c>
      <c r="L277">
        <v>0</v>
      </c>
      <c r="M277" t="s">
        <v>9</v>
      </c>
      <c r="N277" t="s">
        <v>437</v>
      </c>
    </row>
    <row r="278" spans="1:14" x14ac:dyDescent="0.25">
      <c r="A278">
        <v>215073</v>
      </c>
      <c r="B278" t="s">
        <v>366</v>
      </c>
      <c r="C278" t="s">
        <v>343</v>
      </c>
      <c r="D278" t="s">
        <v>427</v>
      </c>
      <c r="E278" t="s">
        <v>440</v>
      </c>
      <c r="F278" t="s">
        <v>8</v>
      </c>
      <c r="G278" t="s">
        <v>8</v>
      </c>
      <c r="H278" t="s">
        <v>8</v>
      </c>
      <c r="I278" t="s">
        <v>440</v>
      </c>
      <c r="J278" t="s">
        <v>387</v>
      </c>
      <c r="K278">
        <v>2</v>
      </c>
      <c r="L278">
        <v>0</v>
      </c>
      <c r="M278" t="s">
        <v>522</v>
      </c>
      <c r="N278" t="s">
        <v>440</v>
      </c>
    </row>
    <row r="279" spans="1:14" x14ac:dyDescent="0.25">
      <c r="A279">
        <v>215073</v>
      </c>
      <c r="B279" t="s">
        <v>366</v>
      </c>
      <c r="C279" t="s">
        <v>343</v>
      </c>
      <c r="D279" t="s">
        <v>427</v>
      </c>
      <c r="E279" t="s">
        <v>441</v>
      </c>
      <c r="F279" t="s">
        <v>8</v>
      </c>
      <c r="G279" t="s">
        <v>442</v>
      </c>
      <c r="H279" t="s">
        <v>8</v>
      </c>
      <c r="I279" t="s">
        <v>442</v>
      </c>
      <c r="J279" t="s">
        <v>387</v>
      </c>
      <c r="K279">
        <v>10</v>
      </c>
      <c r="L279">
        <v>0</v>
      </c>
      <c r="M279" t="s">
        <v>9</v>
      </c>
      <c r="N279" t="s">
        <v>442</v>
      </c>
    </row>
    <row r="280" spans="1:14" x14ac:dyDescent="0.25">
      <c r="A280">
        <v>215073</v>
      </c>
      <c r="B280" t="s">
        <v>366</v>
      </c>
      <c r="C280" t="s">
        <v>343</v>
      </c>
      <c r="D280" t="s">
        <v>528</v>
      </c>
      <c r="E280" t="s">
        <v>529</v>
      </c>
      <c r="F280" t="s">
        <v>8</v>
      </c>
      <c r="G280" t="s">
        <v>8</v>
      </c>
      <c r="H280" t="s">
        <v>8</v>
      </c>
      <c r="I280" t="s">
        <v>529</v>
      </c>
      <c r="J280" t="s">
        <v>391</v>
      </c>
      <c r="K280">
        <v>5</v>
      </c>
      <c r="L280">
        <v>0</v>
      </c>
      <c r="M280" t="s">
        <v>9</v>
      </c>
      <c r="N280" t="s">
        <v>529</v>
      </c>
    </row>
    <row r="281" spans="1:14" x14ac:dyDescent="0.25">
      <c r="A281">
        <v>215073</v>
      </c>
      <c r="B281" t="s">
        <v>366</v>
      </c>
      <c r="C281" t="s">
        <v>343</v>
      </c>
      <c r="D281" t="s">
        <v>445</v>
      </c>
      <c r="E281" t="s">
        <v>446</v>
      </c>
      <c r="F281" t="s">
        <v>8</v>
      </c>
      <c r="G281" t="s">
        <v>447</v>
      </c>
      <c r="H281" t="s">
        <v>8</v>
      </c>
      <c r="I281" t="s">
        <v>447</v>
      </c>
      <c r="J281" t="s">
        <v>391</v>
      </c>
      <c r="K281">
        <v>5</v>
      </c>
      <c r="L281">
        <v>0</v>
      </c>
      <c r="M281" t="s">
        <v>9</v>
      </c>
      <c r="N281" t="s">
        <v>447</v>
      </c>
    </row>
    <row r="282" spans="1:14" x14ac:dyDescent="0.25">
      <c r="A282">
        <v>215073</v>
      </c>
      <c r="B282" t="s">
        <v>366</v>
      </c>
      <c r="C282" t="s">
        <v>343</v>
      </c>
      <c r="D282" t="s">
        <v>452</v>
      </c>
      <c r="E282" t="s">
        <v>459</v>
      </c>
      <c r="F282" t="s">
        <v>460</v>
      </c>
      <c r="G282" t="s">
        <v>461</v>
      </c>
      <c r="H282" t="s">
        <v>8</v>
      </c>
      <c r="I282" t="s">
        <v>461</v>
      </c>
      <c r="J282" t="s">
        <v>387</v>
      </c>
      <c r="K282">
        <v>5</v>
      </c>
      <c r="L282">
        <v>0</v>
      </c>
      <c r="M282" t="s">
        <v>9</v>
      </c>
      <c r="N282" t="s">
        <v>461</v>
      </c>
    </row>
    <row r="283" spans="1:14" x14ac:dyDescent="0.25">
      <c r="A283">
        <v>215073</v>
      </c>
      <c r="B283" t="s">
        <v>366</v>
      </c>
      <c r="C283" t="s">
        <v>343</v>
      </c>
      <c r="D283" t="s">
        <v>462</v>
      </c>
      <c r="E283" t="s">
        <v>463</v>
      </c>
      <c r="F283" t="s">
        <v>8</v>
      </c>
      <c r="G283" t="s">
        <v>464</v>
      </c>
      <c r="H283" t="s">
        <v>465</v>
      </c>
      <c r="I283" t="s">
        <v>465</v>
      </c>
      <c r="J283" t="s">
        <v>387</v>
      </c>
      <c r="K283">
        <v>1</v>
      </c>
      <c r="L283">
        <v>0</v>
      </c>
      <c r="M283" t="s">
        <v>9</v>
      </c>
      <c r="N283" t="s">
        <v>465</v>
      </c>
    </row>
    <row r="284" spans="1:14" x14ac:dyDescent="0.25">
      <c r="A284">
        <v>215073</v>
      </c>
      <c r="B284" t="s">
        <v>366</v>
      </c>
      <c r="C284" t="s">
        <v>343</v>
      </c>
      <c r="D284" t="s">
        <v>462</v>
      </c>
      <c r="E284" t="s">
        <v>466</v>
      </c>
      <c r="F284" t="s">
        <v>8</v>
      </c>
      <c r="G284" t="s">
        <v>467</v>
      </c>
      <c r="H284" t="s">
        <v>8</v>
      </c>
      <c r="I284" t="s">
        <v>467</v>
      </c>
      <c r="J284" t="s">
        <v>387</v>
      </c>
      <c r="K284">
        <v>1</v>
      </c>
      <c r="L284">
        <v>0</v>
      </c>
      <c r="M284" t="s">
        <v>9</v>
      </c>
      <c r="N284" t="s">
        <v>467</v>
      </c>
    </row>
    <row r="285" spans="1:14" x14ac:dyDescent="0.25">
      <c r="A285">
        <v>215073</v>
      </c>
      <c r="B285" t="s">
        <v>366</v>
      </c>
      <c r="C285" t="s">
        <v>343</v>
      </c>
      <c r="D285" t="s">
        <v>480</v>
      </c>
      <c r="E285" t="s">
        <v>481</v>
      </c>
      <c r="F285" t="s">
        <v>8</v>
      </c>
      <c r="G285" t="s">
        <v>482</v>
      </c>
      <c r="H285" t="s">
        <v>8</v>
      </c>
      <c r="I285" t="s">
        <v>482</v>
      </c>
      <c r="J285" t="s">
        <v>391</v>
      </c>
      <c r="K285">
        <v>3</v>
      </c>
      <c r="L285">
        <v>0</v>
      </c>
      <c r="M285" t="s">
        <v>9</v>
      </c>
      <c r="N285" t="s">
        <v>482</v>
      </c>
    </row>
    <row r="286" spans="1:14" x14ac:dyDescent="0.25">
      <c r="A286">
        <v>215073</v>
      </c>
      <c r="B286" t="s">
        <v>366</v>
      </c>
      <c r="C286" t="s">
        <v>343</v>
      </c>
      <c r="D286" t="s">
        <v>8</v>
      </c>
      <c r="E286" t="s">
        <v>8</v>
      </c>
      <c r="F286" t="s">
        <v>8</v>
      </c>
      <c r="G286" t="s">
        <v>8</v>
      </c>
      <c r="H286" t="s">
        <v>8</v>
      </c>
      <c r="I286" t="s">
        <v>483</v>
      </c>
      <c r="J286" t="s">
        <v>391</v>
      </c>
      <c r="K286">
        <v>110</v>
      </c>
      <c r="L286">
        <v>0</v>
      </c>
      <c r="M286" t="s">
        <v>9</v>
      </c>
      <c r="N286" t="s">
        <v>483</v>
      </c>
    </row>
    <row r="287" spans="1:14" x14ac:dyDescent="0.25">
      <c r="A287">
        <v>215074</v>
      </c>
      <c r="B287" t="s">
        <v>352</v>
      </c>
      <c r="C287" t="s">
        <v>367</v>
      </c>
      <c r="D287" t="s">
        <v>485</v>
      </c>
      <c r="E287" t="s">
        <v>506</v>
      </c>
      <c r="F287" t="s">
        <v>8</v>
      </c>
      <c r="G287" t="s">
        <v>507</v>
      </c>
      <c r="H287" t="s">
        <v>8</v>
      </c>
      <c r="I287" t="s">
        <v>507</v>
      </c>
      <c r="J287" t="s">
        <v>391</v>
      </c>
      <c r="K287">
        <v>1</v>
      </c>
      <c r="L287">
        <v>0</v>
      </c>
      <c r="M287" t="s">
        <v>9</v>
      </c>
      <c r="N287" t="s">
        <v>507</v>
      </c>
    </row>
    <row r="288" spans="1:14" x14ac:dyDescent="0.25">
      <c r="A288">
        <v>215074</v>
      </c>
      <c r="B288" t="s">
        <v>352</v>
      </c>
      <c r="C288" t="s">
        <v>367</v>
      </c>
      <c r="D288" t="s">
        <v>384</v>
      </c>
      <c r="E288" t="s">
        <v>385</v>
      </c>
      <c r="F288" t="s">
        <v>8</v>
      </c>
      <c r="G288" t="s">
        <v>386</v>
      </c>
      <c r="H288" t="s">
        <v>8</v>
      </c>
      <c r="I288" t="s">
        <v>386</v>
      </c>
      <c r="J288" t="s">
        <v>387</v>
      </c>
      <c r="K288">
        <v>57</v>
      </c>
      <c r="L288">
        <v>0</v>
      </c>
      <c r="M288" t="s">
        <v>9</v>
      </c>
      <c r="N288" t="s">
        <v>386</v>
      </c>
    </row>
    <row r="289" spans="1:14" x14ac:dyDescent="0.25">
      <c r="A289">
        <v>215074</v>
      </c>
      <c r="B289" t="s">
        <v>352</v>
      </c>
      <c r="C289" t="s">
        <v>367</v>
      </c>
      <c r="D289" t="s">
        <v>393</v>
      </c>
      <c r="E289" t="s">
        <v>397</v>
      </c>
      <c r="F289" t="s">
        <v>535</v>
      </c>
      <c r="G289" t="s">
        <v>536</v>
      </c>
      <c r="H289" t="s">
        <v>8</v>
      </c>
      <c r="I289" t="s">
        <v>536</v>
      </c>
      <c r="J289" t="s">
        <v>387</v>
      </c>
      <c r="K289">
        <v>10</v>
      </c>
      <c r="L289">
        <v>0</v>
      </c>
      <c r="M289" t="s">
        <v>9</v>
      </c>
      <c r="N289" t="s">
        <v>536</v>
      </c>
    </row>
    <row r="290" spans="1:14" x14ac:dyDescent="0.25">
      <c r="A290">
        <v>215074</v>
      </c>
      <c r="B290" t="s">
        <v>352</v>
      </c>
      <c r="C290" t="s">
        <v>367</v>
      </c>
      <c r="D290" t="s">
        <v>393</v>
      </c>
      <c r="E290" t="s">
        <v>397</v>
      </c>
      <c r="F290" t="s">
        <v>399</v>
      </c>
      <c r="G290" t="s">
        <v>515</v>
      </c>
      <c r="H290" t="s">
        <v>8</v>
      </c>
      <c r="I290" t="s">
        <v>515</v>
      </c>
      <c r="J290" t="s">
        <v>387</v>
      </c>
      <c r="K290">
        <v>2</v>
      </c>
      <c r="L290">
        <v>0</v>
      </c>
      <c r="M290" t="s">
        <v>9</v>
      </c>
      <c r="N290" t="s">
        <v>515</v>
      </c>
    </row>
    <row r="291" spans="1:14" x14ac:dyDescent="0.25">
      <c r="A291">
        <v>215074</v>
      </c>
      <c r="B291" t="s">
        <v>352</v>
      </c>
      <c r="C291" t="s">
        <v>367</v>
      </c>
      <c r="D291" t="s">
        <v>393</v>
      </c>
      <c r="E291" t="s">
        <v>397</v>
      </c>
      <c r="F291" t="s">
        <v>399</v>
      </c>
      <c r="G291" t="s">
        <v>403</v>
      </c>
      <c r="H291" t="s">
        <v>8</v>
      </c>
      <c r="I291" t="s">
        <v>403</v>
      </c>
      <c r="J291" t="s">
        <v>387</v>
      </c>
      <c r="K291">
        <v>10</v>
      </c>
      <c r="L291">
        <v>0</v>
      </c>
      <c r="M291" t="s">
        <v>9</v>
      </c>
      <c r="N291" t="s">
        <v>403</v>
      </c>
    </row>
    <row r="292" spans="1:14" x14ac:dyDescent="0.25">
      <c r="A292">
        <v>215074</v>
      </c>
      <c r="B292" t="s">
        <v>352</v>
      </c>
      <c r="C292" t="s">
        <v>367</v>
      </c>
      <c r="D292" t="s">
        <v>393</v>
      </c>
      <c r="E292" t="s">
        <v>397</v>
      </c>
      <c r="F292" t="s">
        <v>401</v>
      </c>
      <c r="G292" t="s">
        <v>8</v>
      </c>
      <c r="H292" t="s">
        <v>8</v>
      </c>
      <c r="I292" t="s">
        <v>490</v>
      </c>
      <c r="J292" t="s">
        <v>387</v>
      </c>
      <c r="K292">
        <v>4</v>
      </c>
      <c r="L292">
        <v>0</v>
      </c>
      <c r="M292" t="s">
        <v>9</v>
      </c>
      <c r="N292" t="s">
        <v>490</v>
      </c>
    </row>
    <row r="293" spans="1:14" x14ac:dyDescent="0.25">
      <c r="A293">
        <v>215074</v>
      </c>
      <c r="B293" t="s">
        <v>352</v>
      </c>
      <c r="C293" t="s">
        <v>367</v>
      </c>
      <c r="D293" t="s">
        <v>393</v>
      </c>
      <c r="E293" t="s">
        <v>397</v>
      </c>
      <c r="F293" t="s">
        <v>405</v>
      </c>
      <c r="G293" t="s">
        <v>408</v>
      </c>
      <c r="H293" t="s">
        <v>409</v>
      </c>
      <c r="I293" t="s">
        <v>410</v>
      </c>
      <c r="J293" t="s">
        <v>387</v>
      </c>
      <c r="K293">
        <v>28</v>
      </c>
      <c r="L293">
        <v>0</v>
      </c>
      <c r="M293" t="s">
        <v>9</v>
      </c>
      <c r="N293" t="s">
        <v>410</v>
      </c>
    </row>
    <row r="294" spans="1:14" x14ac:dyDescent="0.25">
      <c r="A294">
        <v>215074</v>
      </c>
      <c r="B294" t="s">
        <v>352</v>
      </c>
      <c r="C294" t="s">
        <v>367</v>
      </c>
      <c r="D294" t="s">
        <v>393</v>
      </c>
      <c r="E294" t="s">
        <v>397</v>
      </c>
      <c r="F294" t="s">
        <v>405</v>
      </c>
      <c r="G294" t="s">
        <v>408</v>
      </c>
      <c r="H294" t="s">
        <v>411</v>
      </c>
      <c r="I294" t="s">
        <v>412</v>
      </c>
      <c r="J294" t="s">
        <v>387</v>
      </c>
      <c r="K294">
        <v>2</v>
      </c>
      <c r="L294">
        <v>0</v>
      </c>
      <c r="M294" t="s">
        <v>9</v>
      </c>
      <c r="N294" t="s">
        <v>412</v>
      </c>
    </row>
    <row r="295" spans="1:14" x14ac:dyDescent="0.25">
      <c r="A295">
        <v>215074</v>
      </c>
      <c r="B295" t="s">
        <v>352</v>
      </c>
      <c r="C295" t="s">
        <v>367</v>
      </c>
      <c r="D295" t="s">
        <v>393</v>
      </c>
      <c r="E295" t="s">
        <v>397</v>
      </c>
      <c r="F295" t="s">
        <v>405</v>
      </c>
      <c r="G295" t="s">
        <v>491</v>
      </c>
      <c r="H295" t="s">
        <v>537</v>
      </c>
      <c r="I295" t="s">
        <v>538</v>
      </c>
      <c r="J295" t="s">
        <v>387</v>
      </c>
      <c r="K295">
        <v>2</v>
      </c>
      <c r="L295">
        <v>0</v>
      </c>
      <c r="M295" t="s">
        <v>9</v>
      </c>
      <c r="N295" t="s">
        <v>538</v>
      </c>
    </row>
    <row r="296" spans="1:14" x14ac:dyDescent="0.25">
      <c r="A296">
        <v>215074</v>
      </c>
      <c r="B296" t="s">
        <v>352</v>
      </c>
      <c r="C296" t="s">
        <v>367</v>
      </c>
      <c r="D296" t="s">
        <v>393</v>
      </c>
      <c r="E296" t="s">
        <v>397</v>
      </c>
      <c r="F296" t="s">
        <v>405</v>
      </c>
      <c r="G296" t="s">
        <v>406</v>
      </c>
      <c r="H296" t="s">
        <v>8</v>
      </c>
      <c r="I296" t="s">
        <v>406</v>
      </c>
      <c r="J296" t="s">
        <v>387</v>
      </c>
      <c r="K296">
        <v>2</v>
      </c>
      <c r="L296">
        <v>0</v>
      </c>
      <c r="M296" t="s">
        <v>9</v>
      </c>
      <c r="N296" t="s">
        <v>8</v>
      </c>
    </row>
    <row r="297" spans="1:14" x14ac:dyDescent="0.25">
      <c r="A297">
        <v>215074</v>
      </c>
      <c r="B297" t="s">
        <v>352</v>
      </c>
      <c r="C297" t="s">
        <v>367</v>
      </c>
      <c r="D297" t="s">
        <v>393</v>
      </c>
      <c r="E297" t="s">
        <v>397</v>
      </c>
      <c r="F297" t="s">
        <v>405</v>
      </c>
      <c r="G297" t="s">
        <v>416</v>
      </c>
      <c r="H297" t="s">
        <v>8</v>
      </c>
      <c r="I297" t="s">
        <v>416</v>
      </c>
      <c r="J297" t="s">
        <v>387</v>
      </c>
      <c r="K297">
        <v>2</v>
      </c>
      <c r="L297">
        <v>0</v>
      </c>
      <c r="M297" t="s">
        <v>9</v>
      </c>
      <c r="N297" t="s">
        <v>416</v>
      </c>
    </row>
    <row r="298" spans="1:14" x14ac:dyDescent="0.25">
      <c r="A298">
        <v>215074</v>
      </c>
      <c r="B298" t="s">
        <v>352</v>
      </c>
      <c r="C298" t="s">
        <v>367</v>
      </c>
      <c r="D298" t="s">
        <v>393</v>
      </c>
      <c r="E298" t="s">
        <v>397</v>
      </c>
      <c r="F298" t="s">
        <v>405</v>
      </c>
      <c r="G298" t="s">
        <v>408</v>
      </c>
      <c r="H298" t="s">
        <v>8</v>
      </c>
      <c r="I298" t="s">
        <v>408</v>
      </c>
      <c r="J298" t="s">
        <v>387</v>
      </c>
      <c r="K298">
        <v>16</v>
      </c>
      <c r="L298">
        <v>0</v>
      </c>
      <c r="M298" t="s">
        <v>9</v>
      </c>
      <c r="N298" t="s">
        <v>408</v>
      </c>
    </row>
    <row r="299" spans="1:14" x14ac:dyDescent="0.25">
      <c r="A299">
        <v>215074</v>
      </c>
      <c r="B299" t="s">
        <v>352</v>
      </c>
      <c r="C299" t="s">
        <v>367</v>
      </c>
      <c r="D299" t="s">
        <v>393</v>
      </c>
      <c r="E299" t="s">
        <v>397</v>
      </c>
      <c r="F299" t="s">
        <v>405</v>
      </c>
      <c r="G299" t="s">
        <v>418</v>
      </c>
      <c r="H299" t="s">
        <v>8</v>
      </c>
      <c r="I299" t="s">
        <v>418</v>
      </c>
      <c r="J299" t="s">
        <v>387</v>
      </c>
      <c r="K299">
        <v>42</v>
      </c>
      <c r="L299">
        <v>0</v>
      </c>
      <c r="M299" t="s">
        <v>9</v>
      </c>
      <c r="N299" t="s">
        <v>418</v>
      </c>
    </row>
    <row r="300" spans="1:14" x14ac:dyDescent="0.25">
      <c r="A300">
        <v>215074</v>
      </c>
      <c r="B300" t="s">
        <v>352</v>
      </c>
      <c r="C300" t="s">
        <v>367</v>
      </c>
      <c r="D300" t="s">
        <v>393</v>
      </c>
      <c r="E300" t="s">
        <v>397</v>
      </c>
      <c r="F300" t="s">
        <v>405</v>
      </c>
      <c r="G300" t="s">
        <v>539</v>
      </c>
      <c r="H300" t="s">
        <v>8</v>
      </c>
      <c r="I300" t="s">
        <v>539</v>
      </c>
      <c r="J300" t="s">
        <v>387</v>
      </c>
      <c r="K300">
        <v>2</v>
      </c>
      <c r="L300">
        <v>0</v>
      </c>
      <c r="M300" t="s">
        <v>9</v>
      </c>
      <c r="N300" t="s">
        <v>539</v>
      </c>
    </row>
    <row r="301" spans="1:14" x14ac:dyDescent="0.25">
      <c r="A301">
        <v>215074</v>
      </c>
      <c r="B301" t="s">
        <v>352</v>
      </c>
      <c r="C301" t="s">
        <v>367</v>
      </c>
      <c r="D301" t="s">
        <v>393</v>
      </c>
      <c r="E301" t="s">
        <v>397</v>
      </c>
      <c r="F301" t="s">
        <v>405</v>
      </c>
      <c r="G301" t="s">
        <v>419</v>
      </c>
      <c r="H301" t="s">
        <v>8</v>
      </c>
      <c r="I301" t="s">
        <v>419</v>
      </c>
      <c r="J301" t="s">
        <v>387</v>
      </c>
      <c r="K301">
        <v>10</v>
      </c>
      <c r="L301">
        <v>0</v>
      </c>
      <c r="M301" t="s">
        <v>9</v>
      </c>
      <c r="N301" t="s">
        <v>419</v>
      </c>
    </row>
    <row r="302" spans="1:14" x14ac:dyDescent="0.25">
      <c r="A302">
        <v>215074</v>
      </c>
      <c r="B302" t="s">
        <v>352</v>
      </c>
      <c r="C302" t="s">
        <v>367</v>
      </c>
      <c r="D302" t="s">
        <v>393</v>
      </c>
      <c r="E302" t="s">
        <v>397</v>
      </c>
      <c r="F302" t="s">
        <v>405</v>
      </c>
      <c r="G302" t="s">
        <v>420</v>
      </c>
      <c r="H302" t="s">
        <v>8</v>
      </c>
      <c r="I302" t="s">
        <v>420</v>
      </c>
      <c r="J302" t="s">
        <v>387</v>
      </c>
      <c r="K302">
        <v>2</v>
      </c>
      <c r="L302">
        <v>0</v>
      </c>
      <c r="M302" t="s">
        <v>9</v>
      </c>
      <c r="N302" t="s">
        <v>420</v>
      </c>
    </row>
    <row r="303" spans="1:14" x14ac:dyDescent="0.25">
      <c r="A303">
        <v>215074</v>
      </c>
      <c r="B303" t="s">
        <v>352</v>
      </c>
      <c r="C303" t="s">
        <v>367</v>
      </c>
      <c r="D303" t="s">
        <v>393</v>
      </c>
      <c r="E303" t="s">
        <v>421</v>
      </c>
      <c r="F303" t="s">
        <v>422</v>
      </c>
      <c r="G303" t="s">
        <v>423</v>
      </c>
      <c r="H303" t="s">
        <v>8</v>
      </c>
      <c r="I303" t="s">
        <v>423</v>
      </c>
      <c r="J303" t="s">
        <v>387</v>
      </c>
      <c r="K303">
        <v>80</v>
      </c>
      <c r="L303">
        <v>0</v>
      </c>
      <c r="M303" t="s">
        <v>9</v>
      </c>
      <c r="N303" t="s">
        <v>423</v>
      </c>
    </row>
    <row r="304" spans="1:14" x14ac:dyDescent="0.25">
      <c r="A304">
        <v>215074</v>
      </c>
      <c r="B304" t="s">
        <v>352</v>
      </c>
      <c r="C304" t="s">
        <v>367</v>
      </c>
      <c r="D304" t="s">
        <v>393</v>
      </c>
      <c r="E304" t="s">
        <v>424</v>
      </c>
      <c r="F304" t="s">
        <v>540</v>
      </c>
      <c r="G304" t="s">
        <v>541</v>
      </c>
      <c r="H304" t="s">
        <v>8</v>
      </c>
      <c r="I304" t="s">
        <v>541</v>
      </c>
      <c r="J304" t="s">
        <v>387</v>
      </c>
      <c r="K304">
        <v>1</v>
      </c>
      <c r="L304">
        <v>0</v>
      </c>
      <c r="M304" t="s">
        <v>9</v>
      </c>
      <c r="N304" t="s">
        <v>8</v>
      </c>
    </row>
    <row r="305" spans="1:14" x14ac:dyDescent="0.25">
      <c r="A305">
        <v>215074</v>
      </c>
      <c r="B305" t="s">
        <v>352</v>
      </c>
      <c r="C305" t="s">
        <v>367</v>
      </c>
      <c r="D305" t="s">
        <v>393</v>
      </c>
      <c r="E305" t="s">
        <v>424</v>
      </c>
      <c r="F305" t="s">
        <v>425</v>
      </c>
      <c r="G305" t="s">
        <v>496</v>
      </c>
      <c r="H305" t="s">
        <v>8</v>
      </c>
      <c r="I305" t="s">
        <v>496</v>
      </c>
      <c r="J305" t="s">
        <v>387</v>
      </c>
      <c r="K305">
        <v>2</v>
      </c>
      <c r="L305">
        <v>0</v>
      </c>
      <c r="M305" t="s">
        <v>9</v>
      </c>
      <c r="N305" t="s">
        <v>496</v>
      </c>
    </row>
    <row r="306" spans="1:14" x14ac:dyDescent="0.25">
      <c r="A306">
        <v>215074</v>
      </c>
      <c r="B306" t="s">
        <v>352</v>
      </c>
      <c r="C306" t="s">
        <v>367</v>
      </c>
      <c r="D306" t="s">
        <v>427</v>
      </c>
      <c r="E306" t="s">
        <v>428</v>
      </c>
      <c r="F306" t="s">
        <v>8</v>
      </c>
      <c r="G306" t="s">
        <v>429</v>
      </c>
      <c r="H306" t="s">
        <v>8</v>
      </c>
      <c r="I306" t="s">
        <v>429</v>
      </c>
      <c r="J306" t="s">
        <v>387</v>
      </c>
      <c r="K306">
        <v>130</v>
      </c>
      <c r="L306">
        <v>0</v>
      </c>
      <c r="M306" t="s">
        <v>9</v>
      </c>
      <c r="N306" t="s">
        <v>429</v>
      </c>
    </row>
    <row r="307" spans="1:14" x14ac:dyDescent="0.25">
      <c r="A307">
        <v>215074</v>
      </c>
      <c r="B307" t="s">
        <v>352</v>
      </c>
      <c r="C307" t="s">
        <v>367</v>
      </c>
      <c r="D307" t="s">
        <v>427</v>
      </c>
      <c r="E307" t="s">
        <v>433</v>
      </c>
      <c r="F307" t="s">
        <v>8</v>
      </c>
      <c r="G307" t="s">
        <v>8</v>
      </c>
      <c r="H307" t="s">
        <v>8</v>
      </c>
      <c r="I307" t="s">
        <v>433</v>
      </c>
      <c r="J307" t="s">
        <v>387</v>
      </c>
      <c r="K307">
        <v>28</v>
      </c>
      <c r="L307">
        <v>0</v>
      </c>
      <c r="M307" t="s">
        <v>9</v>
      </c>
      <c r="N307" t="s">
        <v>433</v>
      </c>
    </row>
    <row r="308" spans="1:14" x14ac:dyDescent="0.25">
      <c r="A308">
        <v>215074</v>
      </c>
      <c r="B308" t="s">
        <v>352</v>
      </c>
      <c r="C308" t="s">
        <v>367</v>
      </c>
      <c r="D308" t="s">
        <v>427</v>
      </c>
      <c r="E308" t="s">
        <v>441</v>
      </c>
      <c r="F308" t="s">
        <v>8</v>
      </c>
      <c r="G308" t="s">
        <v>442</v>
      </c>
      <c r="H308" t="s">
        <v>8</v>
      </c>
      <c r="I308" t="s">
        <v>442</v>
      </c>
      <c r="J308" t="s">
        <v>387</v>
      </c>
      <c r="K308">
        <v>12</v>
      </c>
      <c r="L308">
        <v>0</v>
      </c>
      <c r="M308" t="s">
        <v>9</v>
      </c>
      <c r="N308" t="s">
        <v>442</v>
      </c>
    </row>
    <row r="309" spans="1:14" x14ac:dyDescent="0.25">
      <c r="A309">
        <v>215074</v>
      </c>
      <c r="B309" t="s">
        <v>352</v>
      </c>
      <c r="C309" t="s">
        <v>367</v>
      </c>
      <c r="D309" t="s">
        <v>427</v>
      </c>
      <c r="E309" t="s">
        <v>443</v>
      </c>
      <c r="F309" t="s">
        <v>8</v>
      </c>
      <c r="G309" t="s">
        <v>444</v>
      </c>
      <c r="H309" t="s">
        <v>8</v>
      </c>
      <c r="I309" t="s">
        <v>444</v>
      </c>
      <c r="J309" t="s">
        <v>387</v>
      </c>
      <c r="K309">
        <v>43</v>
      </c>
      <c r="L309">
        <v>0</v>
      </c>
      <c r="M309" t="s">
        <v>9</v>
      </c>
      <c r="N309" t="s">
        <v>444</v>
      </c>
    </row>
    <row r="310" spans="1:14" x14ac:dyDescent="0.25">
      <c r="A310">
        <v>215074</v>
      </c>
      <c r="B310" t="s">
        <v>352</v>
      </c>
      <c r="C310" t="s">
        <v>367</v>
      </c>
      <c r="D310" t="s">
        <v>448</v>
      </c>
      <c r="E310" t="s">
        <v>449</v>
      </c>
      <c r="F310" t="s">
        <v>450</v>
      </c>
      <c r="G310" t="s">
        <v>451</v>
      </c>
      <c r="H310" t="s">
        <v>8</v>
      </c>
      <c r="I310" t="s">
        <v>451</v>
      </c>
      <c r="J310" t="s">
        <v>387</v>
      </c>
      <c r="K310">
        <v>1</v>
      </c>
      <c r="L310">
        <v>1</v>
      </c>
      <c r="M310" t="s">
        <v>9</v>
      </c>
      <c r="N310" t="s">
        <v>451</v>
      </c>
    </row>
    <row r="311" spans="1:14" x14ac:dyDescent="0.25">
      <c r="A311">
        <v>215074</v>
      </c>
      <c r="B311" t="s">
        <v>352</v>
      </c>
      <c r="C311" t="s">
        <v>367</v>
      </c>
      <c r="D311" t="s">
        <v>452</v>
      </c>
      <c r="E311" t="s">
        <v>453</v>
      </c>
      <c r="F311" t="s">
        <v>8</v>
      </c>
      <c r="G311" t="s">
        <v>457</v>
      </c>
      <c r="H311" t="s">
        <v>458</v>
      </c>
      <c r="I311" t="s">
        <v>458</v>
      </c>
      <c r="J311" t="s">
        <v>387</v>
      </c>
      <c r="K311">
        <v>1</v>
      </c>
      <c r="L311">
        <v>3</v>
      </c>
      <c r="M311" t="s">
        <v>9</v>
      </c>
      <c r="N311" t="s">
        <v>458</v>
      </c>
    </row>
    <row r="312" spans="1:14" x14ac:dyDescent="0.25">
      <c r="A312">
        <v>215074</v>
      </c>
      <c r="B312" t="s">
        <v>352</v>
      </c>
      <c r="C312" t="s">
        <v>367</v>
      </c>
      <c r="D312" t="s">
        <v>452</v>
      </c>
      <c r="E312" t="s">
        <v>453</v>
      </c>
      <c r="F312" t="s">
        <v>454</v>
      </c>
      <c r="G312" t="s">
        <v>455</v>
      </c>
      <c r="H312" t="s">
        <v>456</v>
      </c>
      <c r="I312" t="s">
        <v>456</v>
      </c>
      <c r="J312" t="s">
        <v>387</v>
      </c>
      <c r="K312">
        <v>1</v>
      </c>
      <c r="L312">
        <v>0</v>
      </c>
      <c r="M312" t="s">
        <v>9</v>
      </c>
      <c r="N312" t="s">
        <v>456</v>
      </c>
    </row>
    <row r="313" spans="1:14" x14ac:dyDescent="0.25">
      <c r="A313">
        <v>215074</v>
      </c>
      <c r="B313" t="s">
        <v>352</v>
      </c>
      <c r="C313" t="s">
        <v>367</v>
      </c>
      <c r="D313" t="s">
        <v>452</v>
      </c>
      <c r="E313" t="s">
        <v>453</v>
      </c>
      <c r="F313" t="s">
        <v>8</v>
      </c>
      <c r="G313" t="s">
        <v>8</v>
      </c>
      <c r="H313" t="s">
        <v>8</v>
      </c>
      <c r="I313" t="s">
        <v>453</v>
      </c>
      <c r="J313" t="s">
        <v>387</v>
      </c>
      <c r="K313">
        <v>3</v>
      </c>
      <c r="L313">
        <v>0</v>
      </c>
      <c r="M313" t="s">
        <v>439</v>
      </c>
      <c r="N313" t="s">
        <v>453</v>
      </c>
    </row>
    <row r="314" spans="1:14" x14ac:dyDescent="0.25">
      <c r="A314">
        <v>215074</v>
      </c>
      <c r="B314" t="s">
        <v>352</v>
      </c>
      <c r="C314" t="s">
        <v>367</v>
      </c>
      <c r="D314" t="s">
        <v>452</v>
      </c>
      <c r="E314" t="s">
        <v>459</v>
      </c>
      <c r="F314" t="s">
        <v>460</v>
      </c>
      <c r="G314" t="s">
        <v>461</v>
      </c>
      <c r="H314" t="s">
        <v>8</v>
      </c>
      <c r="I314" t="s">
        <v>461</v>
      </c>
      <c r="J314" t="s">
        <v>387</v>
      </c>
      <c r="K314">
        <v>28</v>
      </c>
      <c r="L314">
        <v>0</v>
      </c>
      <c r="M314" t="s">
        <v>9</v>
      </c>
      <c r="N314" t="s">
        <v>461</v>
      </c>
    </row>
    <row r="315" spans="1:14" x14ac:dyDescent="0.25">
      <c r="A315">
        <v>215074</v>
      </c>
      <c r="B315" t="s">
        <v>352</v>
      </c>
      <c r="C315" t="s">
        <v>367</v>
      </c>
      <c r="D315" t="s">
        <v>452</v>
      </c>
      <c r="E315" t="s">
        <v>459</v>
      </c>
      <c r="F315" t="s">
        <v>8</v>
      </c>
      <c r="G315" t="s">
        <v>8</v>
      </c>
      <c r="H315" t="s">
        <v>8</v>
      </c>
      <c r="I315" t="s">
        <v>459</v>
      </c>
      <c r="J315" t="s">
        <v>387</v>
      </c>
      <c r="K315">
        <v>11</v>
      </c>
      <c r="L315">
        <v>0</v>
      </c>
      <c r="M315" t="s">
        <v>439</v>
      </c>
      <c r="N315" t="s">
        <v>459</v>
      </c>
    </row>
    <row r="316" spans="1:14" x14ac:dyDescent="0.25">
      <c r="A316">
        <v>215074</v>
      </c>
      <c r="B316" t="s">
        <v>352</v>
      </c>
      <c r="C316" t="s">
        <v>367</v>
      </c>
      <c r="D316" t="s">
        <v>462</v>
      </c>
      <c r="E316" t="s">
        <v>463</v>
      </c>
      <c r="F316" t="s">
        <v>8</v>
      </c>
      <c r="G316" t="s">
        <v>464</v>
      </c>
      <c r="H316" t="s">
        <v>465</v>
      </c>
      <c r="I316" t="s">
        <v>465</v>
      </c>
      <c r="J316" t="s">
        <v>387</v>
      </c>
      <c r="K316">
        <v>10</v>
      </c>
      <c r="L316">
        <v>1</v>
      </c>
      <c r="M316" t="s">
        <v>9</v>
      </c>
      <c r="N316" t="s">
        <v>465</v>
      </c>
    </row>
    <row r="317" spans="1:14" x14ac:dyDescent="0.25">
      <c r="A317">
        <v>215074</v>
      </c>
      <c r="B317" t="s">
        <v>352</v>
      </c>
      <c r="C317" t="s">
        <v>367</v>
      </c>
      <c r="D317" t="s">
        <v>462</v>
      </c>
      <c r="E317" t="s">
        <v>542</v>
      </c>
      <c r="F317" t="s">
        <v>543</v>
      </c>
      <c r="G317" t="s">
        <v>544</v>
      </c>
      <c r="H317" t="s">
        <v>8</v>
      </c>
      <c r="I317" t="s">
        <v>544</v>
      </c>
      <c r="J317" t="s">
        <v>387</v>
      </c>
      <c r="K317">
        <v>18</v>
      </c>
      <c r="L317">
        <v>0</v>
      </c>
      <c r="M317" t="s">
        <v>9</v>
      </c>
      <c r="N317" t="s">
        <v>544</v>
      </c>
    </row>
    <row r="318" spans="1:14" x14ac:dyDescent="0.25">
      <c r="A318">
        <v>215074</v>
      </c>
      <c r="B318" t="s">
        <v>352</v>
      </c>
      <c r="C318" t="s">
        <v>367</v>
      </c>
      <c r="D318" t="s">
        <v>462</v>
      </c>
      <c r="E318" t="s">
        <v>466</v>
      </c>
      <c r="F318" t="s">
        <v>8</v>
      </c>
      <c r="G318" t="s">
        <v>467</v>
      </c>
      <c r="H318" t="s">
        <v>8</v>
      </c>
      <c r="I318" t="s">
        <v>467</v>
      </c>
      <c r="J318" t="s">
        <v>387</v>
      </c>
      <c r="K318">
        <v>44</v>
      </c>
      <c r="L318">
        <v>0</v>
      </c>
      <c r="M318" t="s">
        <v>9</v>
      </c>
      <c r="N318" t="s">
        <v>467</v>
      </c>
    </row>
    <row r="319" spans="1:14" x14ac:dyDescent="0.25">
      <c r="A319">
        <v>215074</v>
      </c>
      <c r="B319" t="s">
        <v>352</v>
      </c>
      <c r="C319" t="s">
        <v>367</v>
      </c>
      <c r="D319" t="s">
        <v>462</v>
      </c>
      <c r="E319" t="s">
        <v>468</v>
      </c>
      <c r="F319" t="s">
        <v>469</v>
      </c>
      <c r="G319" t="s">
        <v>470</v>
      </c>
      <c r="H319" t="s">
        <v>8</v>
      </c>
      <c r="I319" t="s">
        <v>470</v>
      </c>
      <c r="J319" t="s">
        <v>387</v>
      </c>
      <c r="K319">
        <v>51</v>
      </c>
      <c r="L319">
        <v>1</v>
      </c>
      <c r="M319" t="s">
        <v>9</v>
      </c>
      <c r="N319" t="s">
        <v>470</v>
      </c>
    </row>
    <row r="320" spans="1:14" x14ac:dyDescent="0.25">
      <c r="A320">
        <v>215074</v>
      </c>
      <c r="B320" t="s">
        <v>352</v>
      </c>
      <c r="C320" t="s">
        <v>367</v>
      </c>
      <c r="D320" t="s">
        <v>462</v>
      </c>
      <c r="E320" t="s">
        <v>471</v>
      </c>
      <c r="F320" t="s">
        <v>8</v>
      </c>
      <c r="G320" t="s">
        <v>8</v>
      </c>
      <c r="H320" t="s">
        <v>8</v>
      </c>
      <c r="I320" t="s">
        <v>471</v>
      </c>
      <c r="J320" t="s">
        <v>398</v>
      </c>
      <c r="K320">
        <v>1</v>
      </c>
      <c r="L320">
        <v>0</v>
      </c>
      <c r="M320" t="s">
        <v>9</v>
      </c>
      <c r="N320" t="s">
        <v>471</v>
      </c>
    </row>
    <row r="321" spans="1:14" x14ac:dyDescent="0.25">
      <c r="A321">
        <v>215074</v>
      </c>
      <c r="B321" t="s">
        <v>352</v>
      </c>
      <c r="C321" t="s">
        <v>367</v>
      </c>
      <c r="D321" t="s">
        <v>462</v>
      </c>
      <c r="E321" t="s">
        <v>471</v>
      </c>
      <c r="F321" t="s">
        <v>498</v>
      </c>
      <c r="G321" t="s">
        <v>499</v>
      </c>
      <c r="H321" t="s">
        <v>8</v>
      </c>
      <c r="I321" t="s">
        <v>499</v>
      </c>
      <c r="J321" t="s">
        <v>387</v>
      </c>
      <c r="K321">
        <v>1</v>
      </c>
      <c r="L321">
        <v>0</v>
      </c>
      <c r="M321" t="s">
        <v>9</v>
      </c>
      <c r="N321" t="s">
        <v>499</v>
      </c>
    </row>
    <row r="322" spans="1:14" x14ac:dyDescent="0.25">
      <c r="A322">
        <v>215074</v>
      </c>
      <c r="B322" t="s">
        <v>352</v>
      </c>
      <c r="C322" t="s">
        <v>367</v>
      </c>
      <c r="D322" t="s">
        <v>462</v>
      </c>
      <c r="E322" t="s">
        <v>545</v>
      </c>
      <c r="F322" t="s">
        <v>546</v>
      </c>
      <c r="G322" t="s">
        <v>547</v>
      </c>
      <c r="H322" t="s">
        <v>8</v>
      </c>
      <c r="I322" t="s">
        <v>547</v>
      </c>
      <c r="J322" t="s">
        <v>387</v>
      </c>
      <c r="K322">
        <v>11</v>
      </c>
      <c r="L322">
        <v>0</v>
      </c>
      <c r="M322" t="s">
        <v>9</v>
      </c>
      <c r="N322" t="s">
        <v>547</v>
      </c>
    </row>
    <row r="323" spans="1:14" x14ac:dyDescent="0.25">
      <c r="A323">
        <v>215074</v>
      </c>
      <c r="B323" t="s">
        <v>352</v>
      </c>
      <c r="C323" t="s">
        <v>367</v>
      </c>
      <c r="D323" t="s">
        <v>462</v>
      </c>
      <c r="E323" t="s">
        <v>472</v>
      </c>
      <c r="F323" t="s">
        <v>473</v>
      </c>
      <c r="G323" t="s">
        <v>474</v>
      </c>
      <c r="H323" t="s">
        <v>8</v>
      </c>
      <c r="I323" t="s">
        <v>474</v>
      </c>
      <c r="J323" t="s">
        <v>387</v>
      </c>
      <c r="K323">
        <v>6</v>
      </c>
      <c r="L323">
        <v>0</v>
      </c>
      <c r="M323" t="s">
        <v>9</v>
      </c>
      <c r="N323" t="s">
        <v>474</v>
      </c>
    </row>
    <row r="324" spans="1:14" x14ac:dyDescent="0.25">
      <c r="A324">
        <v>215074</v>
      </c>
      <c r="B324" t="s">
        <v>352</v>
      </c>
      <c r="C324" t="s">
        <v>367</v>
      </c>
      <c r="D324" t="s">
        <v>462</v>
      </c>
      <c r="E324" t="s">
        <v>472</v>
      </c>
      <c r="F324" t="s">
        <v>473</v>
      </c>
      <c r="G324" t="s">
        <v>475</v>
      </c>
      <c r="H324" t="s">
        <v>8</v>
      </c>
      <c r="I324" t="s">
        <v>475</v>
      </c>
      <c r="J324" t="s">
        <v>387</v>
      </c>
      <c r="K324">
        <v>0</v>
      </c>
      <c r="L324">
        <v>1</v>
      </c>
      <c r="M324" t="s">
        <v>9</v>
      </c>
      <c r="N324" t="s">
        <v>8</v>
      </c>
    </row>
    <row r="325" spans="1:14" x14ac:dyDescent="0.25">
      <c r="A325">
        <v>215074</v>
      </c>
      <c r="B325" t="s">
        <v>352</v>
      </c>
      <c r="C325" t="s">
        <v>367</v>
      </c>
      <c r="D325" t="s">
        <v>462</v>
      </c>
      <c r="E325" t="s">
        <v>548</v>
      </c>
      <c r="F325" t="s">
        <v>8</v>
      </c>
      <c r="G325" t="s">
        <v>8</v>
      </c>
      <c r="H325" t="s">
        <v>8</v>
      </c>
      <c r="I325" t="s">
        <v>548</v>
      </c>
      <c r="J325" t="s">
        <v>387</v>
      </c>
      <c r="K325">
        <v>2</v>
      </c>
      <c r="L325">
        <v>0</v>
      </c>
      <c r="M325" t="s">
        <v>439</v>
      </c>
      <c r="N325" t="s">
        <v>548</v>
      </c>
    </row>
    <row r="326" spans="1:14" x14ac:dyDescent="0.25">
      <c r="A326">
        <v>215074</v>
      </c>
      <c r="B326" t="s">
        <v>352</v>
      </c>
      <c r="C326" t="s">
        <v>367</v>
      </c>
      <c r="D326" t="s">
        <v>462</v>
      </c>
      <c r="E326" t="s">
        <v>549</v>
      </c>
      <c r="F326" t="s">
        <v>550</v>
      </c>
      <c r="G326" t="s">
        <v>551</v>
      </c>
      <c r="H326" t="s">
        <v>8</v>
      </c>
      <c r="I326" t="s">
        <v>551</v>
      </c>
      <c r="J326" t="s">
        <v>387</v>
      </c>
      <c r="K326">
        <v>1</v>
      </c>
      <c r="L326">
        <v>0</v>
      </c>
      <c r="M326" t="s">
        <v>9</v>
      </c>
      <c r="N326" t="s">
        <v>551</v>
      </c>
    </row>
    <row r="327" spans="1:14" x14ac:dyDescent="0.25">
      <c r="A327">
        <v>215074</v>
      </c>
      <c r="B327" t="s">
        <v>352</v>
      </c>
      <c r="C327" t="s">
        <v>367</v>
      </c>
      <c r="D327" t="s">
        <v>477</v>
      </c>
      <c r="E327" t="s">
        <v>552</v>
      </c>
      <c r="F327" t="s">
        <v>8</v>
      </c>
      <c r="G327" t="s">
        <v>8</v>
      </c>
      <c r="H327" t="s">
        <v>8</v>
      </c>
      <c r="I327" t="s">
        <v>552</v>
      </c>
      <c r="J327" t="s">
        <v>391</v>
      </c>
      <c r="K327">
        <v>1</v>
      </c>
      <c r="L327">
        <v>0</v>
      </c>
      <c r="M327" t="s">
        <v>9</v>
      </c>
      <c r="N327" t="s">
        <v>552</v>
      </c>
    </row>
    <row r="328" spans="1:14" x14ac:dyDescent="0.25">
      <c r="A328">
        <v>215074</v>
      </c>
      <c r="B328" t="s">
        <v>352</v>
      </c>
      <c r="C328" t="s">
        <v>367</v>
      </c>
      <c r="D328" t="s">
        <v>477</v>
      </c>
      <c r="E328" t="s">
        <v>504</v>
      </c>
      <c r="F328" t="s">
        <v>8</v>
      </c>
      <c r="G328" t="s">
        <v>505</v>
      </c>
      <c r="H328" t="s">
        <v>8</v>
      </c>
      <c r="I328" t="s">
        <v>505</v>
      </c>
      <c r="J328" t="s">
        <v>391</v>
      </c>
      <c r="K328">
        <v>1</v>
      </c>
      <c r="L328">
        <v>0</v>
      </c>
      <c r="M328" t="s">
        <v>9</v>
      </c>
      <c r="N328" t="s">
        <v>505</v>
      </c>
    </row>
    <row r="329" spans="1:14" x14ac:dyDescent="0.25">
      <c r="A329">
        <v>215074</v>
      </c>
      <c r="B329" t="s">
        <v>352</v>
      </c>
      <c r="C329" t="s">
        <v>367</v>
      </c>
      <c r="D329" t="s">
        <v>8</v>
      </c>
      <c r="E329" t="s">
        <v>8</v>
      </c>
      <c r="F329" t="s">
        <v>8</v>
      </c>
      <c r="G329" t="s">
        <v>8</v>
      </c>
      <c r="H329" t="s">
        <v>8</v>
      </c>
      <c r="I329" t="s">
        <v>483</v>
      </c>
      <c r="J329" t="s">
        <v>391</v>
      </c>
      <c r="K329">
        <v>7</v>
      </c>
      <c r="L329">
        <v>0</v>
      </c>
      <c r="M329" t="s">
        <v>9</v>
      </c>
      <c r="N329" t="s">
        <v>483</v>
      </c>
    </row>
    <row r="330" spans="1:14" x14ac:dyDescent="0.25">
      <c r="A330">
        <v>215074</v>
      </c>
      <c r="B330" t="s">
        <v>352</v>
      </c>
      <c r="C330" t="s">
        <v>367</v>
      </c>
      <c r="D330" t="s">
        <v>8</v>
      </c>
      <c r="E330" t="s">
        <v>8</v>
      </c>
      <c r="F330" t="s">
        <v>8</v>
      </c>
      <c r="G330" t="s">
        <v>8</v>
      </c>
      <c r="H330" t="s">
        <v>8</v>
      </c>
      <c r="I330" t="s">
        <v>530</v>
      </c>
      <c r="J330" t="s">
        <v>391</v>
      </c>
      <c r="K330">
        <v>2</v>
      </c>
      <c r="L330">
        <v>0</v>
      </c>
      <c r="M330" t="s">
        <v>9</v>
      </c>
      <c r="N330" t="s">
        <v>8</v>
      </c>
    </row>
    <row r="331" spans="1:14" x14ac:dyDescent="0.25">
      <c r="A331">
        <v>215075</v>
      </c>
      <c r="B331" t="s">
        <v>360</v>
      </c>
      <c r="C331" t="s">
        <v>367</v>
      </c>
      <c r="D331" t="s">
        <v>393</v>
      </c>
      <c r="E331" t="s">
        <v>397</v>
      </c>
      <c r="F331" t="s">
        <v>405</v>
      </c>
      <c r="G331" t="s">
        <v>408</v>
      </c>
      <c r="H331" t="s">
        <v>409</v>
      </c>
      <c r="I331" t="s">
        <v>410</v>
      </c>
      <c r="J331" t="s">
        <v>387</v>
      </c>
      <c r="K331">
        <v>2</v>
      </c>
      <c r="L331">
        <v>0</v>
      </c>
      <c r="M331" t="s">
        <v>9</v>
      </c>
      <c r="N331" t="s">
        <v>410</v>
      </c>
    </row>
    <row r="332" spans="1:14" x14ac:dyDescent="0.25">
      <c r="A332">
        <v>215075</v>
      </c>
      <c r="B332" t="s">
        <v>360</v>
      </c>
      <c r="C332" t="s">
        <v>367</v>
      </c>
      <c r="D332" t="s">
        <v>393</v>
      </c>
      <c r="E332" t="s">
        <v>397</v>
      </c>
      <c r="F332" t="s">
        <v>405</v>
      </c>
      <c r="G332" t="s">
        <v>553</v>
      </c>
      <c r="H332" t="s">
        <v>8</v>
      </c>
      <c r="I332" t="s">
        <v>553</v>
      </c>
      <c r="J332" t="s">
        <v>387</v>
      </c>
      <c r="K332">
        <v>2</v>
      </c>
      <c r="L332">
        <v>0</v>
      </c>
      <c r="M332" t="s">
        <v>9</v>
      </c>
      <c r="N332" t="s">
        <v>553</v>
      </c>
    </row>
    <row r="333" spans="1:14" x14ac:dyDescent="0.25">
      <c r="A333">
        <v>215075</v>
      </c>
      <c r="B333" t="s">
        <v>360</v>
      </c>
      <c r="C333" t="s">
        <v>367</v>
      </c>
      <c r="D333" t="s">
        <v>393</v>
      </c>
      <c r="E333" t="s">
        <v>421</v>
      </c>
      <c r="F333" t="s">
        <v>422</v>
      </c>
      <c r="G333" t="s">
        <v>423</v>
      </c>
      <c r="H333" t="s">
        <v>8</v>
      </c>
      <c r="I333" t="s">
        <v>423</v>
      </c>
      <c r="J333" t="s">
        <v>387</v>
      </c>
      <c r="K333">
        <v>15</v>
      </c>
      <c r="L333">
        <v>0</v>
      </c>
      <c r="M333" t="s">
        <v>9</v>
      </c>
      <c r="N333" t="s">
        <v>423</v>
      </c>
    </row>
    <row r="334" spans="1:14" x14ac:dyDescent="0.25">
      <c r="A334">
        <v>215075</v>
      </c>
      <c r="B334" t="s">
        <v>360</v>
      </c>
      <c r="C334" t="s">
        <v>367</v>
      </c>
      <c r="D334" t="s">
        <v>427</v>
      </c>
      <c r="E334" t="s">
        <v>428</v>
      </c>
      <c r="F334" t="s">
        <v>8</v>
      </c>
      <c r="G334" t="s">
        <v>429</v>
      </c>
      <c r="H334" t="s">
        <v>8</v>
      </c>
      <c r="I334" t="s">
        <v>429</v>
      </c>
      <c r="J334" t="s">
        <v>387</v>
      </c>
      <c r="K334">
        <v>25</v>
      </c>
      <c r="L334">
        <v>0</v>
      </c>
      <c r="M334" t="s">
        <v>9</v>
      </c>
      <c r="N334" t="s">
        <v>429</v>
      </c>
    </row>
    <row r="335" spans="1:14" x14ac:dyDescent="0.25">
      <c r="A335">
        <v>215075</v>
      </c>
      <c r="B335" t="s">
        <v>360</v>
      </c>
      <c r="C335" t="s">
        <v>367</v>
      </c>
      <c r="D335" t="s">
        <v>427</v>
      </c>
      <c r="E335" t="s">
        <v>441</v>
      </c>
      <c r="F335" t="s">
        <v>8</v>
      </c>
      <c r="G335" t="s">
        <v>442</v>
      </c>
      <c r="H335" t="s">
        <v>8</v>
      </c>
      <c r="I335" t="s">
        <v>442</v>
      </c>
      <c r="J335" t="s">
        <v>387</v>
      </c>
      <c r="K335">
        <v>1</v>
      </c>
      <c r="L335">
        <v>0</v>
      </c>
      <c r="M335" t="s">
        <v>9</v>
      </c>
      <c r="N335" t="s">
        <v>442</v>
      </c>
    </row>
    <row r="336" spans="1:14" x14ac:dyDescent="0.25">
      <c r="A336">
        <v>215075</v>
      </c>
      <c r="B336" t="s">
        <v>360</v>
      </c>
      <c r="C336" t="s">
        <v>367</v>
      </c>
      <c r="D336" t="s">
        <v>427</v>
      </c>
      <c r="E336" t="s">
        <v>443</v>
      </c>
      <c r="F336" t="s">
        <v>8</v>
      </c>
      <c r="G336" t="s">
        <v>444</v>
      </c>
      <c r="H336" t="s">
        <v>8</v>
      </c>
      <c r="I336" t="s">
        <v>444</v>
      </c>
      <c r="J336" t="s">
        <v>387</v>
      </c>
      <c r="K336">
        <v>1</v>
      </c>
      <c r="L336">
        <v>0</v>
      </c>
      <c r="M336" t="s">
        <v>9</v>
      </c>
      <c r="N336" t="s">
        <v>444</v>
      </c>
    </row>
    <row r="337" spans="1:14" x14ac:dyDescent="0.25">
      <c r="A337">
        <v>215075</v>
      </c>
      <c r="B337" t="s">
        <v>360</v>
      </c>
      <c r="C337" t="s">
        <v>367</v>
      </c>
      <c r="D337" t="s">
        <v>462</v>
      </c>
      <c r="E337" t="s">
        <v>468</v>
      </c>
      <c r="F337" t="s">
        <v>469</v>
      </c>
      <c r="G337" t="s">
        <v>470</v>
      </c>
      <c r="H337" t="s">
        <v>8</v>
      </c>
      <c r="I337" t="s">
        <v>470</v>
      </c>
      <c r="J337" t="s">
        <v>387</v>
      </c>
      <c r="K337">
        <v>5</v>
      </c>
      <c r="L337">
        <v>0</v>
      </c>
      <c r="M337" t="s">
        <v>9</v>
      </c>
      <c r="N337" t="s">
        <v>470</v>
      </c>
    </row>
    <row r="338" spans="1:14" x14ac:dyDescent="0.25">
      <c r="A338">
        <v>215075</v>
      </c>
      <c r="B338" t="s">
        <v>360</v>
      </c>
      <c r="C338" t="s">
        <v>367</v>
      </c>
      <c r="D338" t="s">
        <v>462</v>
      </c>
      <c r="E338" t="s">
        <v>549</v>
      </c>
      <c r="F338" t="s">
        <v>550</v>
      </c>
      <c r="G338" t="s">
        <v>551</v>
      </c>
      <c r="H338" t="s">
        <v>8</v>
      </c>
      <c r="I338" t="s">
        <v>551</v>
      </c>
      <c r="J338" t="s">
        <v>387</v>
      </c>
      <c r="K338">
        <v>1</v>
      </c>
      <c r="L338">
        <v>0</v>
      </c>
      <c r="M338" t="s">
        <v>9</v>
      </c>
      <c r="N338" t="s">
        <v>551</v>
      </c>
    </row>
    <row r="339" spans="1:14" x14ac:dyDescent="0.25">
      <c r="A339">
        <v>215075</v>
      </c>
      <c r="B339" t="s">
        <v>360</v>
      </c>
      <c r="C339" t="s">
        <v>367</v>
      </c>
      <c r="D339" t="s">
        <v>8</v>
      </c>
      <c r="E339" t="s">
        <v>8</v>
      </c>
      <c r="F339" t="s">
        <v>8</v>
      </c>
      <c r="G339" t="s">
        <v>8</v>
      </c>
      <c r="H339" t="s">
        <v>8</v>
      </c>
      <c r="I339" t="s">
        <v>483</v>
      </c>
      <c r="J339" t="s">
        <v>391</v>
      </c>
      <c r="K339">
        <v>1</v>
      </c>
      <c r="L339">
        <v>0</v>
      </c>
      <c r="M339" t="s">
        <v>9</v>
      </c>
      <c r="N339" t="s">
        <v>483</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84A3E-41D4-4846-8AEB-0263166C77F5}">
  <dimension ref="A1:O11"/>
  <sheetViews>
    <sheetView workbookViewId="0">
      <selection activeCell="F41" sqref="F41"/>
    </sheetView>
  </sheetViews>
  <sheetFormatPr defaultRowHeight="15" x14ac:dyDescent="0.25"/>
  <cols>
    <col min="1" max="1" width="21.7109375" bestFit="1" customWidth="1"/>
    <col min="2" max="2" width="21.7109375" customWidth="1"/>
    <col min="3" max="3" width="12.85546875" bestFit="1" customWidth="1"/>
    <col min="5" max="5" width="13.42578125" bestFit="1" customWidth="1"/>
    <col min="6" max="6" width="12.42578125" bestFit="1" customWidth="1"/>
    <col min="7" max="7" width="13.42578125" bestFit="1" customWidth="1"/>
    <col min="8" max="8" width="23" bestFit="1" customWidth="1"/>
    <col min="9" max="9" width="21.5703125" bestFit="1" customWidth="1"/>
    <col min="10" max="10" width="17.7109375" bestFit="1" customWidth="1"/>
    <col min="11" max="11" width="23" bestFit="1" customWidth="1"/>
    <col min="12" max="12" width="21.5703125" bestFit="1" customWidth="1"/>
    <col min="13" max="13" width="18.5703125" bestFit="1" customWidth="1"/>
  </cols>
  <sheetData>
    <row r="1" spans="1:15" x14ac:dyDescent="0.25">
      <c r="H1" s="10" t="s">
        <v>573</v>
      </c>
      <c r="I1" s="10"/>
      <c r="J1" s="10"/>
      <c r="K1" s="10"/>
      <c r="N1" s="10" t="s">
        <v>86</v>
      </c>
      <c r="O1" s="10"/>
    </row>
    <row r="2" spans="1:15" x14ac:dyDescent="0.25">
      <c r="A2" t="s">
        <v>554</v>
      </c>
      <c r="B2" t="s">
        <v>561</v>
      </c>
      <c r="C2" t="s">
        <v>12</v>
      </c>
      <c r="D2" t="s">
        <v>571</v>
      </c>
      <c r="E2" t="s">
        <v>572</v>
      </c>
      <c r="F2" t="s">
        <v>571</v>
      </c>
      <c r="G2" t="s">
        <v>572</v>
      </c>
      <c r="H2" t="s">
        <v>292</v>
      </c>
      <c r="I2" t="s">
        <v>295</v>
      </c>
      <c r="J2" t="s">
        <v>574</v>
      </c>
      <c r="K2" t="s">
        <v>292</v>
      </c>
      <c r="L2" t="s">
        <v>295</v>
      </c>
      <c r="M2" t="s">
        <v>575</v>
      </c>
      <c r="N2" t="s">
        <v>571</v>
      </c>
      <c r="O2" t="s">
        <v>572</v>
      </c>
    </row>
    <row r="3" spans="1:15" x14ac:dyDescent="0.25">
      <c r="A3" t="s">
        <v>342</v>
      </c>
      <c r="B3" t="s">
        <v>562</v>
      </c>
      <c r="C3" t="s">
        <v>343</v>
      </c>
      <c r="D3">
        <v>61.6</v>
      </c>
      <c r="E3">
        <v>0</v>
      </c>
      <c r="F3">
        <v>2.76</v>
      </c>
      <c r="G3">
        <v>0</v>
      </c>
      <c r="H3">
        <v>1379</v>
      </c>
      <c r="I3">
        <v>24</v>
      </c>
      <c r="J3">
        <f>H3/I3</f>
        <v>57.458333333333336</v>
      </c>
      <c r="M3">
        <v>0</v>
      </c>
      <c r="N3">
        <v>36</v>
      </c>
    </row>
    <row r="4" spans="1:15" x14ac:dyDescent="0.25">
      <c r="A4" t="s">
        <v>352</v>
      </c>
      <c r="B4" t="s">
        <v>563</v>
      </c>
      <c r="C4" t="s">
        <v>343</v>
      </c>
      <c r="D4">
        <v>64.599999999999994</v>
      </c>
      <c r="E4">
        <v>66.7</v>
      </c>
      <c r="F4">
        <v>3.07</v>
      </c>
      <c r="G4">
        <v>2.83</v>
      </c>
      <c r="H4">
        <v>1459</v>
      </c>
      <c r="I4">
        <v>1E-10</v>
      </c>
      <c r="J4">
        <f t="shared" ref="J4:J11" si="0">H4/I4</f>
        <v>14590000000000</v>
      </c>
      <c r="K4">
        <v>3117</v>
      </c>
      <c r="L4">
        <v>1E-10</v>
      </c>
      <c r="M4">
        <f>K4/L4</f>
        <v>31170000000000</v>
      </c>
      <c r="N4">
        <v>34</v>
      </c>
      <c r="O4">
        <v>34</v>
      </c>
    </row>
    <row r="5" spans="1:15" x14ac:dyDescent="0.25">
      <c r="A5" t="s">
        <v>355</v>
      </c>
      <c r="B5" t="s">
        <v>564</v>
      </c>
      <c r="C5" t="s">
        <v>343</v>
      </c>
      <c r="D5">
        <v>47</v>
      </c>
      <c r="E5">
        <v>0</v>
      </c>
      <c r="F5">
        <v>2.4</v>
      </c>
      <c r="G5">
        <v>0</v>
      </c>
      <c r="H5">
        <v>168</v>
      </c>
      <c r="I5">
        <v>204</v>
      </c>
      <c r="J5">
        <f t="shared" si="0"/>
        <v>0.82352941176470584</v>
      </c>
      <c r="M5">
        <v>0</v>
      </c>
      <c r="N5">
        <v>30</v>
      </c>
    </row>
    <row r="6" spans="1:15" x14ac:dyDescent="0.25">
      <c r="A6" t="s">
        <v>358</v>
      </c>
      <c r="B6" t="s">
        <v>565</v>
      </c>
      <c r="C6" t="s">
        <v>343</v>
      </c>
      <c r="D6">
        <v>57.6</v>
      </c>
      <c r="E6">
        <v>0</v>
      </c>
      <c r="F6">
        <v>2.42</v>
      </c>
      <c r="G6">
        <v>0</v>
      </c>
      <c r="H6">
        <v>459</v>
      </c>
      <c r="I6">
        <v>68</v>
      </c>
      <c r="J6">
        <f t="shared" si="0"/>
        <v>6.75</v>
      </c>
      <c r="M6">
        <v>0</v>
      </c>
      <c r="N6">
        <v>22</v>
      </c>
    </row>
    <row r="7" spans="1:15" x14ac:dyDescent="0.25">
      <c r="A7" t="s">
        <v>360</v>
      </c>
      <c r="B7" t="s">
        <v>566</v>
      </c>
      <c r="C7" t="s">
        <v>343</v>
      </c>
      <c r="D7">
        <v>36.4</v>
      </c>
      <c r="E7">
        <v>35.4</v>
      </c>
      <c r="F7">
        <v>1.6</v>
      </c>
      <c r="G7">
        <v>1.48</v>
      </c>
      <c r="H7">
        <v>248</v>
      </c>
      <c r="I7">
        <v>194</v>
      </c>
      <c r="J7">
        <f t="shared" si="0"/>
        <v>1.2783505154639174</v>
      </c>
      <c r="K7">
        <v>4</v>
      </c>
      <c r="L7">
        <v>1E-10</v>
      </c>
      <c r="M7">
        <f>K7/L7</f>
        <v>40000000000</v>
      </c>
      <c r="N7">
        <v>20</v>
      </c>
      <c r="O7">
        <v>9</v>
      </c>
    </row>
    <row r="8" spans="1:15" x14ac:dyDescent="0.25">
      <c r="A8" t="s">
        <v>363</v>
      </c>
      <c r="B8" t="s">
        <v>567</v>
      </c>
      <c r="C8" t="s">
        <v>343</v>
      </c>
      <c r="D8">
        <v>34</v>
      </c>
      <c r="E8">
        <v>0</v>
      </c>
      <c r="F8">
        <v>1.73</v>
      </c>
      <c r="G8">
        <v>0</v>
      </c>
      <c r="H8">
        <v>25</v>
      </c>
      <c r="I8">
        <v>54</v>
      </c>
      <c r="J8">
        <f t="shared" si="0"/>
        <v>0.46296296296296297</v>
      </c>
      <c r="M8">
        <v>0</v>
      </c>
      <c r="N8">
        <v>17</v>
      </c>
    </row>
    <row r="9" spans="1:15" x14ac:dyDescent="0.25">
      <c r="A9" t="s">
        <v>364</v>
      </c>
      <c r="B9" t="s">
        <v>568</v>
      </c>
      <c r="C9" t="s">
        <v>343</v>
      </c>
      <c r="D9">
        <v>35.700000000000003</v>
      </c>
      <c r="E9">
        <v>0</v>
      </c>
      <c r="F9">
        <v>2.2000000000000002</v>
      </c>
      <c r="G9">
        <v>0</v>
      </c>
      <c r="H9">
        <v>18</v>
      </c>
      <c r="I9">
        <v>25</v>
      </c>
      <c r="J9">
        <f t="shared" si="0"/>
        <v>0.72</v>
      </c>
      <c r="M9">
        <v>0</v>
      </c>
      <c r="N9">
        <v>16</v>
      </c>
    </row>
    <row r="10" spans="1:15" x14ac:dyDescent="0.25">
      <c r="A10" t="s">
        <v>365</v>
      </c>
      <c r="B10" t="s">
        <v>570</v>
      </c>
      <c r="C10" t="s">
        <v>343</v>
      </c>
      <c r="D10">
        <v>41.6</v>
      </c>
      <c r="E10">
        <v>0</v>
      </c>
      <c r="F10">
        <v>2.36</v>
      </c>
      <c r="G10">
        <v>0</v>
      </c>
      <c r="H10">
        <v>125</v>
      </c>
      <c r="I10">
        <v>54</v>
      </c>
      <c r="J10">
        <f t="shared" si="0"/>
        <v>2.3148148148148149</v>
      </c>
      <c r="M10">
        <v>0</v>
      </c>
      <c r="N10">
        <v>26</v>
      </c>
    </row>
    <row r="11" spans="1:15" x14ac:dyDescent="0.25">
      <c r="A11" t="s">
        <v>366</v>
      </c>
      <c r="B11" t="s">
        <v>569</v>
      </c>
      <c r="C11" t="s">
        <v>343</v>
      </c>
      <c r="D11">
        <v>29.4</v>
      </c>
      <c r="E11">
        <v>0</v>
      </c>
      <c r="F11">
        <v>1.78</v>
      </c>
      <c r="G11">
        <v>0</v>
      </c>
      <c r="H11">
        <v>25</v>
      </c>
      <c r="I11">
        <v>18</v>
      </c>
      <c r="J11">
        <f t="shared" si="0"/>
        <v>1.3888888888888888</v>
      </c>
      <c r="M11">
        <v>0</v>
      </c>
      <c r="N11">
        <v>18</v>
      </c>
    </row>
  </sheetData>
  <mergeCells count="2">
    <mergeCell ref="H1:K1"/>
    <mergeCell ref="N1:O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General metadata &amp; disclaimers</vt:lpstr>
      <vt:lpstr>Column metadata</vt:lpstr>
      <vt:lpstr>Site &amp; sample info</vt:lpstr>
      <vt:lpstr>Index results</vt:lpstr>
      <vt:lpstr>Metrics</vt:lpstr>
      <vt:lpstr>Taxa matrix</vt:lpstr>
      <vt:lpstr>Raw taxa list</vt:lpstr>
      <vt:lpstr>GPV working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andrew.caudillo</dc:creator>
  <cp:lastModifiedBy>Valentine, George - FS, CO</cp:lastModifiedBy>
  <dcterms:created xsi:type="dcterms:W3CDTF">2024-02-21T06:57:56Z</dcterms:created>
  <dcterms:modified xsi:type="dcterms:W3CDTF">2024-06-14T21:05:20Z</dcterms:modified>
</cp:coreProperties>
</file>